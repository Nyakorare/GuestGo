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lenn\Desktop\"/>
    </mc:Choice>
  </mc:AlternateContent>
  <xr:revisionPtr revIDLastSave="0" documentId="13_ncr:1_{E470B49F-8E6A-4E83-93D7-BF2315458F84}" xr6:coauthVersionLast="47" xr6:coauthVersionMax="47" xr10:uidLastSave="{00000000-0000-0000-0000-000000000000}"/>
  <bookViews>
    <workbookView xWindow="-120" yWindow="-120" windowWidth="17520" windowHeight="12480" xr2:uid="{00000000-000D-0000-FFFF-FFFF00000000}"/>
  </bookViews>
  <sheets>
    <sheet name="Computation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6" i="5" l="1"/>
  <c r="C165" i="5"/>
  <c r="C164" i="5"/>
  <c r="C163" i="5"/>
  <c r="J154" i="5"/>
  <c r="C154" i="5"/>
  <c r="J153" i="5"/>
  <c r="C153" i="5"/>
  <c r="J152" i="5"/>
  <c r="C152" i="5"/>
  <c r="J151" i="5"/>
  <c r="C151" i="5"/>
  <c r="C143" i="5"/>
  <c r="C142" i="5"/>
  <c r="C141" i="5"/>
  <c r="C140" i="5"/>
  <c r="X132" i="5"/>
  <c r="Q132" i="5"/>
  <c r="J132" i="5"/>
  <c r="C132" i="5"/>
  <c r="X131" i="5"/>
  <c r="Q131" i="5"/>
  <c r="J131" i="5"/>
  <c r="C131" i="5"/>
  <c r="X130" i="5"/>
  <c r="Q130" i="5"/>
  <c r="J130" i="5"/>
  <c r="C130" i="5"/>
  <c r="X129" i="5"/>
  <c r="Q129" i="5"/>
  <c r="J129" i="5"/>
  <c r="C129" i="5"/>
  <c r="C120" i="5"/>
  <c r="C119" i="5"/>
  <c r="C118" i="5"/>
  <c r="C117" i="5"/>
  <c r="X111" i="5"/>
  <c r="Q111" i="5"/>
  <c r="J111" i="5"/>
  <c r="C111" i="5"/>
  <c r="X110" i="5"/>
  <c r="Q110" i="5"/>
  <c r="J110" i="5"/>
  <c r="C110" i="5"/>
  <c r="X109" i="5"/>
  <c r="Q109" i="5"/>
  <c r="J109" i="5"/>
  <c r="C109" i="5"/>
  <c r="X108" i="5"/>
  <c r="Q108" i="5"/>
  <c r="J108" i="5"/>
  <c r="C108" i="5"/>
  <c r="X101" i="5"/>
  <c r="Q101" i="5"/>
  <c r="J101" i="5"/>
  <c r="C101" i="5"/>
  <c r="X100" i="5"/>
  <c r="Q100" i="5"/>
  <c r="J100" i="5"/>
  <c r="C100" i="5"/>
  <c r="X99" i="5"/>
  <c r="Q99" i="5"/>
  <c r="J99" i="5"/>
  <c r="C99" i="5"/>
  <c r="X98" i="5"/>
  <c r="Q98" i="5"/>
  <c r="J98" i="5"/>
  <c r="C98" i="5"/>
  <c r="J90" i="5"/>
  <c r="C90" i="5"/>
  <c r="J89" i="5"/>
  <c r="C89" i="5"/>
  <c r="J88" i="5"/>
  <c r="C88" i="5"/>
  <c r="J87" i="5"/>
  <c r="C87" i="5"/>
  <c r="Q80" i="5"/>
  <c r="X79" i="5"/>
  <c r="Q79" i="5"/>
  <c r="J79" i="5"/>
  <c r="C79" i="5"/>
  <c r="X78" i="5"/>
  <c r="Q78" i="5"/>
  <c r="J78" i="5"/>
  <c r="C78" i="5"/>
  <c r="X77" i="5"/>
  <c r="Q77" i="5"/>
  <c r="J77" i="5"/>
  <c r="C77" i="5"/>
  <c r="X76" i="5"/>
  <c r="J76" i="5"/>
  <c r="C76" i="5"/>
  <c r="J68" i="5"/>
  <c r="C68" i="5"/>
  <c r="J67" i="5"/>
  <c r="C67" i="5"/>
  <c r="J66" i="5"/>
  <c r="C66" i="5"/>
  <c r="J65" i="5"/>
  <c r="C65" i="5"/>
  <c r="J59" i="5"/>
  <c r="Q58" i="5"/>
  <c r="J58" i="5"/>
  <c r="C58" i="5"/>
  <c r="Q57" i="5"/>
  <c r="J57" i="5"/>
  <c r="C57" i="5"/>
  <c r="Q56" i="5"/>
  <c r="J56" i="5"/>
  <c r="C56" i="5"/>
  <c r="Q55" i="5"/>
  <c r="C55" i="5"/>
  <c r="Q48" i="5"/>
  <c r="J48" i="5"/>
  <c r="C48" i="5"/>
  <c r="Q47" i="5"/>
  <c r="J47" i="5"/>
  <c r="C47" i="5"/>
  <c r="Q46" i="5"/>
  <c r="J46" i="5"/>
  <c r="C46" i="5"/>
  <c r="Q45" i="5"/>
  <c r="J45" i="5"/>
  <c r="C45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W2" i="5"/>
  <c r="C42" i="5" s="1"/>
</calcChain>
</file>

<file path=xl/sharedStrings.xml><?xml version="1.0" encoding="utf-8"?>
<sst xmlns="http://schemas.openxmlformats.org/spreadsheetml/2006/main" count="93" uniqueCount="31">
  <si>
    <t>Admin</t>
  </si>
  <si>
    <t>Personnel</t>
  </si>
  <si>
    <t>Guard</t>
  </si>
  <si>
    <t>Visitor 1</t>
  </si>
  <si>
    <t>Visitor 2</t>
  </si>
  <si>
    <t>Visitor 3</t>
  </si>
  <si>
    <t>Visitor 4</t>
  </si>
  <si>
    <t>Visitor 5</t>
  </si>
  <si>
    <t>Visitor 6</t>
  </si>
  <si>
    <t>Visitor 7</t>
  </si>
  <si>
    <t>Visitor 8</t>
  </si>
  <si>
    <t>Visitor 9</t>
  </si>
  <si>
    <t>Visitor 10</t>
  </si>
  <si>
    <t>Visitor 11</t>
  </si>
  <si>
    <t>Visitor 12</t>
  </si>
  <si>
    <t>Visitor 13</t>
  </si>
  <si>
    <t>Visitor 14</t>
  </si>
  <si>
    <t>Visitor 15 (GUEST)</t>
  </si>
  <si>
    <t>CRITERION MEAN</t>
  </si>
  <si>
    <t>Functional Stability</t>
  </si>
  <si>
    <t>Performance Efficiency</t>
  </si>
  <si>
    <t>Compatibility</t>
  </si>
  <si>
    <t>Usability</t>
  </si>
  <si>
    <t>Reliability</t>
  </si>
  <si>
    <t>Security</t>
  </si>
  <si>
    <t>Maintainability</t>
  </si>
  <si>
    <t>Portability</t>
  </si>
  <si>
    <t>Grand Mean</t>
  </si>
  <si>
    <t>SCORE</t>
  </si>
  <si>
    <t>COUNT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</si>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</sst>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2" xfId="0" applyFont="1" applyBorder="1"/>
    <xf numFmtId="0" fontId="0" fillId="0" borderId="0" xfId="0"/>
    <xf numFmtId="2" fontId="3" fillId="0" borderId="0" xfId="0" applyNumberFormat="1" applyFont="1" applyAlignment="1">
      <alignment horizontal="left"/>
    </xf>
    <xf numFmtId="2" fontId="3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Functional Completeness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Computations!$B$45:$B$48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Computations!$C$45:$C$48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DB-4DBA-A398-99411000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725394"/>
        <c:axId val="339963201"/>
      </c:barChart>
      <c:catAx>
        <c:axId val="10047253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9963201"/>
        <c:crosses val="autoZero"/>
        <c:auto val="1"/>
        <c:lblAlgn val="ctr"/>
        <c:lblOffset val="100"/>
        <c:noMultiLvlLbl val="1"/>
      </c:catAx>
      <c:valAx>
        <c:axId val="3399632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472539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Functional Correctness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Computations!$I$45:$I$48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Computations!$J$45:$J$48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58-42A8-89B3-D9B937140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303120"/>
        <c:axId val="1280188491"/>
      </c:barChart>
      <c:catAx>
        <c:axId val="40830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0188491"/>
        <c:crosses val="autoZero"/>
        <c:auto val="1"/>
        <c:lblAlgn val="ctr"/>
        <c:lblOffset val="100"/>
        <c:noMultiLvlLbl val="1"/>
      </c:catAx>
      <c:valAx>
        <c:axId val="12801884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30312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Functional Appropriateness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Computations!$P$45:$P$48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Computations!$Q$45:$Q$48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10-4BEA-9F57-6E738E4B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210864"/>
        <c:axId val="355143158"/>
      </c:barChart>
      <c:catAx>
        <c:axId val="21082108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5143158"/>
        <c:crosses val="autoZero"/>
        <c:auto val="1"/>
        <c:lblAlgn val="ctr"/>
        <c:lblOffset val="100"/>
        <c:noMultiLvlLbl val="1"/>
      </c:catAx>
      <c:valAx>
        <c:axId val="355143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21086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Time Behavior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D1A-4AE0-A1B2-B93D68BC9690}"/>
              </c:ext>
            </c:extLst>
          </c:dPt>
          <c:cat>
            <c:numRef>
              <c:f>Computations!$B$55:$B$58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Computations!$C$55:$C$58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1A-4AE0-A1B2-B93D68BC9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2810235"/>
        <c:axId val="32255447"/>
      </c:barChart>
      <c:catAx>
        <c:axId val="13328102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55447"/>
        <c:crosses val="autoZero"/>
        <c:auto val="1"/>
        <c:lblAlgn val="ctr"/>
        <c:lblOffset val="100"/>
        <c:noMultiLvlLbl val="1"/>
      </c:catAx>
      <c:valAx>
        <c:axId val="322554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2810235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Resource Utilization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53A-4CBF-8C7F-0F0DC366AB77}"/>
              </c:ext>
            </c:extLst>
          </c:dPt>
          <c:cat>
            <c:numRef>
              <c:f>Computations!$I$56:$I$59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Computations!$J$56:$J$59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3A-4CBF-8C7F-0F0DC366A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975301"/>
        <c:axId val="1309047133"/>
      </c:barChart>
      <c:catAx>
        <c:axId val="14259753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9047133"/>
        <c:crosses val="autoZero"/>
        <c:auto val="1"/>
        <c:lblAlgn val="ctr"/>
        <c:lblOffset val="100"/>
        <c:noMultiLvlLbl val="1"/>
      </c:catAx>
      <c:valAx>
        <c:axId val="13090471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597530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Capacity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899-459F-86DB-8906CBFDDA94}"/>
              </c:ext>
            </c:extLst>
          </c:dPt>
          <c:cat>
            <c:numRef>
              <c:f>Computations!$P$55:$P$58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Computations!$Q$55:$Q$58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99-459F-86DB-8906CBFDD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174323"/>
        <c:axId val="1350316287"/>
      </c:barChart>
      <c:catAx>
        <c:axId val="8241743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0316287"/>
        <c:crosses val="autoZero"/>
        <c:auto val="1"/>
        <c:lblAlgn val="ctr"/>
        <c:lblOffset val="100"/>
        <c:noMultiLvlLbl val="1"/>
      </c:catAx>
      <c:valAx>
        <c:axId val="13503162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417432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Co-Existence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F66-4D69-8352-72D88BC3E917}"/>
              </c:ext>
            </c:extLst>
          </c:dPt>
          <c:cat>
            <c:numRef>
              <c:f>Computations!$B$65:$B$68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Computations!$C$65:$C$68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F66-4D69-8352-72D88BC3E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600077"/>
        <c:axId val="764907738"/>
      </c:barChart>
      <c:catAx>
        <c:axId val="394600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907738"/>
        <c:crosses val="autoZero"/>
        <c:auto val="1"/>
        <c:lblAlgn val="ctr"/>
        <c:lblOffset val="100"/>
        <c:noMultiLvlLbl val="1"/>
      </c:catAx>
      <c:valAx>
        <c:axId val="7649077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4600077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Interoperability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621-4347-9774-22A357CB447E}"/>
              </c:ext>
            </c:extLst>
          </c:dPt>
          <c:cat>
            <c:numRef>
              <c:f>Computations!$I$65:$I$68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Computations!$J$65:$J$68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621-4347-9774-22A357CB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95220"/>
        <c:axId val="164035077"/>
      </c:barChart>
      <c:catAx>
        <c:axId val="1502952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035077"/>
        <c:crosses val="autoZero"/>
        <c:auto val="1"/>
        <c:lblAlgn val="ctr"/>
        <c:lblOffset val="100"/>
        <c:noMultiLvlLbl val="1"/>
      </c:catAx>
      <c:valAx>
        <c:axId val="1640350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29522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Appropriateness Recognizability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EC1-4AEA-835C-96A63C26FE1A}"/>
              </c:ext>
            </c:extLst>
          </c:dPt>
          <c:cat>
            <c:numRef>
              <c:f>Computations!$B$76:$B$79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Computations!$C$76:$C$79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C1-4AEA-835C-96A63C26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3330143"/>
        <c:axId val="1221604921"/>
      </c:barChart>
      <c:catAx>
        <c:axId val="10333301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1604921"/>
        <c:crosses val="autoZero"/>
        <c:auto val="1"/>
        <c:lblAlgn val="ctr"/>
        <c:lblOffset val="100"/>
        <c:noMultiLvlLbl val="1"/>
      </c:catAx>
      <c:valAx>
        <c:axId val="1221604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333014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Learnability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58D-4332-83A6-B021305C029E}"/>
              </c:ext>
            </c:extLst>
          </c:dPt>
          <c:cat>
            <c:numRef>
              <c:f>Computations!$I$76:$I$79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Computations!$J$76:$J$79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58D-4332-83A6-B021305C0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038639"/>
        <c:axId val="326564745"/>
      </c:barChart>
      <c:catAx>
        <c:axId val="2900386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564745"/>
        <c:crosses val="autoZero"/>
        <c:auto val="1"/>
        <c:lblAlgn val="ctr"/>
        <c:lblOffset val="100"/>
        <c:noMultiLvlLbl val="1"/>
      </c:catAx>
      <c:valAx>
        <c:axId val="3265647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0038639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User Error Protection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4E9-4929-B7D9-4C3D895C729B}"/>
              </c:ext>
            </c:extLst>
          </c:dPt>
          <c:cat>
            <c:numRef>
              <c:f>Computations!$P$77:$P$80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Computations!$Q$77:$Q$80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E9-4929-B7D9-4C3D895C7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798004"/>
        <c:axId val="126969355"/>
      </c:barChart>
      <c:catAx>
        <c:axId val="9577980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969355"/>
        <c:crosses val="autoZero"/>
        <c:auto val="1"/>
        <c:lblAlgn val="ctr"/>
        <c:lblOffset val="100"/>
        <c:noMultiLvlLbl val="1"/>
      </c:catAx>
      <c:valAx>
        <c:axId val="1269693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779800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User Interface Aesthethics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9BB-4DFD-A2BC-42A62299CF1F}"/>
              </c:ext>
            </c:extLst>
          </c:dPt>
          <c:cat>
            <c:numRef>
              <c:f>Computations!$W$76:$W$79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Computations!$X$76:$X$79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9BB-4DFD-A2BC-42A62299C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30461"/>
        <c:axId val="625155486"/>
      </c:barChart>
      <c:catAx>
        <c:axId val="336304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5155486"/>
        <c:crosses val="autoZero"/>
        <c:auto val="1"/>
        <c:lblAlgn val="ctr"/>
        <c:lblOffset val="100"/>
        <c:noMultiLvlLbl val="1"/>
      </c:catAx>
      <c:valAx>
        <c:axId val="6251554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3046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Accessibility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A01-4174-8C3B-6D783D0A1257}"/>
              </c:ext>
            </c:extLst>
          </c:dPt>
          <c:cat>
            <c:numRef>
              <c:f>Computations!$B$87:$B$90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Computations!$C$87:$C$90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01-4174-8C3B-6D783D0A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796140"/>
        <c:axId val="204230553"/>
      </c:barChart>
      <c:catAx>
        <c:axId val="12997961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30553"/>
        <c:crosses val="autoZero"/>
        <c:auto val="1"/>
        <c:lblAlgn val="ctr"/>
        <c:lblOffset val="100"/>
        <c:noMultiLvlLbl val="1"/>
      </c:catAx>
      <c:valAx>
        <c:axId val="2042305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979614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Operability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4D9-458C-8A42-AD63244F9428}"/>
              </c:ext>
            </c:extLst>
          </c:dPt>
          <c:cat>
            <c:numRef>
              <c:f>Computations!$I$87:$I$90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Computations!$J$87:$J$90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D9-458C-8A42-AD63244F9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197543"/>
        <c:axId val="219157921"/>
      </c:barChart>
      <c:catAx>
        <c:axId val="11991975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9157921"/>
        <c:crosses val="autoZero"/>
        <c:auto val="1"/>
        <c:lblAlgn val="ctr"/>
        <c:lblOffset val="100"/>
        <c:noMultiLvlLbl val="1"/>
      </c:catAx>
      <c:valAx>
        <c:axId val="219157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919754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Maturity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080-4AE6-A94D-CD11464E27A9}"/>
              </c:ext>
            </c:extLst>
          </c:dPt>
          <c:cat>
            <c:numRef>
              <c:f>Computations!$B$98:$B$101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Computations!$C$98:$C$101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80-4AE6-A94D-CD11464E2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727230"/>
        <c:axId val="1538752502"/>
      </c:barChart>
      <c:catAx>
        <c:axId val="4027272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8752502"/>
        <c:crosses val="autoZero"/>
        <c:auto val="1"/>
        <c:lblAlgn val="ctr"/>
        <c:lblOffset val="100"/>
        <c:noMultiLvlLbl val="1"/>
      </c:catAx>
      <c:valAx>
        <c:axId val="15387525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272723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Fault Tolerance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D2C-4A4B-912F-1552EE69A287}"/>
              </c:ext>
            </c:extLst>
          </c:dPt>
          <c:cat>
            <c:numRef>
              <c:f>Computations!$I$98:$I$101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Computations!$J$98:$J$101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2C-4A4B-912F-1552EE69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9925508"/>
        <c:axId val="1406923429"/>
      </c:barChart>
      <c:catAx>
        <c:axId val="8199255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6923429"/>
        <c:crosses val="autoZero"/>
        <c:auto val="1"/>
        <c:lblAlgn val="ctr"/>
        <c:lblOffset val="100"/>
        <c:noMultiLvlLbl val="1"/>
      </c:catAx>
      <c:valAx>
        <c:axId val="1406923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992550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Availability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20C-4DB9-A588-8A0F3275A49E}"/>
              </c:ext>
            </c:extLst>
          </c:dPt>
          <c:cat>
            <c:numRef>
              <c:f>Computations!$P$98:$P$101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Computations!$Q$98:$Q$101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20C-4DB9-A588-8A0F3275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079885"/>
        <c:axId val="1287268331"/>
      </c:barChart>
      <c:catAx>
        <c:axId val="16870798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7268331"/>
        <c:crosses val="autoZero"/>
        <c:auto val="1"/>
        <c:lblAlgn val="ctr"/>
        <c:lblOffset val="100"/>
        <c:noMultiLvlLbl val="1"/>
      </c:catAx>
      <c:valAx>
        <c:axId val="12872683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7079885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Recoveribility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0C1-49C4-AB6D-E78432BAF9C7}"/>
              </c:ext>
            </c:extLst>
          </c:dPt>
          <c:cat>
            <c:numRef>
              <c:f>Computations!$W$98:$W$101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Computations!$X$98:$X$101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0C1-49C4-AB6D-E78432BAF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7660854"/>
        <c:axId val="1044122195"/>
      </c:barChart>
      <c:catAx>
        <c:axId val="8376608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4122195"/>
        <c:crosses val="autoZero"/>
        <c:auto val="1"/>
        <c:lblAlgn val="ctr"/>
        <c:lblOffset val="100"/>
        <c:noMultiLvlLbl val="1"/>
      </c:catAx>
      <c:valAx>
        <c:axId val="10441221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766085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Confidentiality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F51-463E-93DA-748FF64A9757}"/>
              </c:ext>
            </c:extLst>
          </c:dPt>
          <c:cat>
            <c:numRef>
              <c:f>Computations!$B$108:$B$111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Computations!$C$108:$C$111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F51-463E-93DA-748FF64A9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396638"/>
        <c:axId val="953194740"/>
      </c:barChart>
      <c:catAx>
        <c:axId val="12703966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3194740"/>
        <c:crosses val="autoZero"/>
        <c:auto val="1"/>
        <c:lblAlgn val="ctr"/>
        <c:lblOffset val="100"/>
        <c:noMultiLvlLbl val="1"/>
      </c:catAx>
      <c:valAx>
        <c:axId val="9531947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039663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Integrity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FB4-42F4-880D-D71CF59AE8B2}"/>
              </c:ext>
            </c:extLst>
          </c:dPt>
          <c:cat>
            <c:numRef>
              <c:f>Computations!$I$108:$I$111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Computations!$J$108:$J$111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FB4-42F4-880D-D71CF59A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0869552"/>
        <c:axId val="1170934014"/>
      </c:barChart>
      <c:catAx>
        <c:axId val="11408695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0934014"/>
        <c:crosses val="autoZero"/>
        <c:auto val="1"/>
        <c:lblAlgn val="ctr"/>
        <c:lblOffset val="100"/>
        <c:noMultiLvlLbl val="1"/>
      </c:catAx>
      <c:valAx>
        <c:axId val="11709340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086955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Nonrepudition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9B3-4357-B89A-0B333641D855}"/>
              </c:ext>
            </c:extLst>
          </c:dPt>
          <c:cat>
            <c:numRef>
              <c:f>Computations!$P$108:$P$111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Computations!$Q$108:$Q$111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9B3-4357-B89A-0B333641D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63159"/>
        <c:axId val="526376360"/>
      </c:barChart>
      <c:catAx>
        <c:axId val="571631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376360"/>
        <c:crosses val="autoZero"/>
        <c:auto val="1"/>
        <c:lblAlgn val="ctr"/>
        <c:lblOffset val="100"/>
        <c:noMultiLvlLbl val="1"/>
      </c:catAx>
      <c:valAx>
        <c:axId val="5263763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163159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Accountability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CEE-443A-99FD-8D4A8AB43102}"/>
              </c:ext>
            </c:extLst>
          </c:dPt>
          <c:cat>
            <c:numRef>
              <c:f>Computations!$W$108:$W$111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Computations!$X$108:$X$111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CEE-443A-99FD-8D4A8AB43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241886"/>
        <c:axId val="343860648"/>
      </c:barChart>
      <c:catAx>
        <c:axId val="2452418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3860648"/>
        <c:crosses val="autoZero"/>
        <c:auto val="1"/>
        <c:lblAlgn val="ctr"/>
        <c:lblOffset val="100"/>
        <c:noMultiLvlLbl val="1"/>
      </c:catAx>
      <c:valAx>
        <c:axId val="3438606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5241886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Authenticity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725-456A-B67D-3CE3AD7C8C2A}"/>
              </c:ext>
            </c:extLst>
          </c:dPt>
          <c:cat>
            <c:numRef>
              <c:f>Computations!$B$117:$B$120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Computations!$C$117:$C$120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725-456A-B67D-3CE3AD7C8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630713"/>
        <c:axId val="893973250"/>
      </c:barChart>
      <c:catAx>
        <c:axId val="6956307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3973250"/>
        <c:crosses val="autoZero"/>
        <c:auto val="1"/>
        <c:lblAlgn val="ctr"/>
        <c:lblOffset val="100"/>
        <c:noMultiLvlLbl val="1"/>
      </c:catAx>
      <c:valAx>
        <c:axId val="8939732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563071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Modularity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DFA-4010-812C-178F755D41FC}"/>
              </c:ext>
            </c:extLst>
          </c:dPt>
          <c:cat>
            <c:numRef>
              <c:f>Computations!$B$129:$B$132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Computations!$C$129:$C$132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DFA-4010-812C-178F755D4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374542"/>
        <c:axId val="1639227075"/>
      </c:barChart>
      <c:catAx>
        <c:axId val="10663745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9227075"/>
        <c:crosses val="autoZero"/>
        <c:auto val="1"/>
        <c:lblAlgn val="ctr"/>
        <c:lblOffset val="100"/>
        <c:noMultiLvlLbl val="1"/>
      </c:catAx>
      <c:valAx>
        <c:axId val="1639227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37454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Reusability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437-435B-9417-B99D4596B996}"/>
              </c:ext>
            </c:extLst>
          </c:dPt>
          <c:cat>
            <c:numRef>
              <c:f>Computations!$I$129:$I$132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Computations!$J$129:$J$132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37-435B-9417-B99D4596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522321"/>
        <c:axId val="1268305705"/>
      </c:barChart>
      <c:catAx>
        <c:axId val="8575223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8305705"/>
        <c:crosses val="autoZero"/>
        <c:auto val="1"/>
        <c:lblAlgn val="ctr"/>
        <c:lblOffset val="100"/>
        <c:noMultiLvlLbl val="1"/>
      </c:catAx>
      <c:valAx>
        <c:axId val="1268305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752232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Analyzability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A41-4598-B541-B7E3F8A6A571}"/>
              </c:ext>
            </c:extLst>
          </c:dPt>
          <c:cat>
            <c:numRef>
              <c:f>Computations!$P$129:$P$132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Computations!$Q$129:$Q$132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41-4598-B541-B7E3F8A6A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196643"/>
        <c:axId val="1303995468"/>
      </c:barChart>
      <c:catAx>
        <c:axId val="1138196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3995468"/>
        <c:crosses val="autoZero"/>
        <c:auto val="1"/>
        <c:lblAlgn val="ctr"/>
        <c:lblOffset val="100"/>
        <c:noMultiLvlLbl val="1"/>
      </c:catAx>
      <c:valAx>
        <c:axId val="13039954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819664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Modifiability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6C1-4106-9656-5989A897DAF5}"/>
              </c:ext>
            </c:extLst>
          </c:dPt>
          <c:cat>
            <c:numRef>
              <c:f>Computations!$W$129:$W$132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Computations!$X$129:$X$132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C1-4106-9656-5989A897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17939"/>
        <c:axId val="943932015"/>
      </c:barChart>
      <c:catAx>
        <c:axId val="1581179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932015"/>
        <c:crosses val="autoZero"/>
        <c:auto val="1"/>
        <c:lblAlgn val="ctr"/>
        <c:lblOffset val="100"/>
        <c:noMultiLvlLbl val="1"/>
      </c:catAx>
      <c:valAx>
        <c:axId val="9439320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117939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Testability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37B-4025-9F04-43EEB6470AE0}"/>
              </c:ext>
            </c:extLst>
          </c:dPt>
          <c:cat>
            <c:numRef>
              <c:f>Computations!$B$140:$B$143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Computations!$C$140:$C$143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7B-4025-9F04-43EEB6470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921313"/>
        <c:axId val="2034451370"/>
      </c:barChart>
      <c:catAx>
        <c:axId val="17789213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4451370"/>
        <c:crosses val="autoZero"/>
        <c:auto val="1"/>
        <c:lblAlgn val="ctr"/>
        <c:lblOffset val="100"/>
        <c:noMultiLvlLbl val="1"/>
      </c:catAx>
      <c:valAx>
        <c:axId val="20344513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892131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Adaptability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76E-4F93-B81A-05D3D66F86B5}"/>
              </c:ext>
            </c:extLst>
          </c:dPt>
          <c:cat>
            <c:numRef>
              <c:f>Computations!$B$151:$B$154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Computations!$C$151:$C$154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6E-4F93-B81A-05D3D66F8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1314302"/>
        <c:axId val="1140633323"/>
      </c:barChart>
      <c:catAx>
        <c:axId val="18913143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0633323"/>
        <c:crosses val="autoZero"/>
        <c:auto val="1"/>
        <c:lblAlgn val="ctr"/>
        <c:lblOffset val="100"/>
        <c:noMultiLvlLbl val="1"/>
      </c:catAx>
      <c:valAx>
        <c:axId val="11406333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31430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Replaceability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410-4740-A79E-9D993770EA30}"/>
              </c:ext>
            </c:extLst>
          </c:dPt>
          <c:cat>
            <c:numRef>
              <c:f>Computations!$I$151:$I$154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Computations!$J$151:$J$154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10-4740-A79E-9D993770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2256209"/>
        <c:axId val="745202159"/>
      </c:barChart>
      <c:catAx>
        <c:axId val="20322562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5202159"/>
        <c:crosses val="autoZero"/>
        <c:auto val="1"/>
        <c:lblAlgn val="ctr"/>
        <c:lblOffset val="100"/>
        <c:noMultiLvlLbl val="1"/>
      </c:catAx>
      <c:valAx>
        <c:axId val="745202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2256209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OVERALL GRADE 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A6A-4D38-A529-989D1C44216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A6A-4D38-A529-989D1C44216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A6A-4D38-A529-989D1C44216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A6A-4D38-A529-989D1C442160}"/>
              </c:ext>
            </c:extLst>
          </c:dPt>
          <c:val>
            <c:numRef>
              <c:f>Computations!$C$163:$C$166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130</c:v>
                </c:pt>
                <c:pt idx="3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A-4D38-A529-989D1C442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42</xdr:row>
      <xdr:rowOff>76200</xdr:rowOff>
    </xdr:from>
    <xdr:ext cx="3352800" cy="20764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247650</xdr:colOff>
      <xdr:row>42</xdr:row>
      <xdr:rowOff>76200</xdr:rowOff>
    </xdr:from>
    <xdr:ext cx="3352800" cy="20764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276225</xdr:colOff>
      <xdr:row>42</xdr:row>
      <xdr:rowOff>76200</xdr:rowOff>
    </xdr:from>
    <xdr:ext cx="3352800" cy="20764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161925</xdr:colOff>
      <xdr:row>53</xdr:row>
      <xdr:rowOff>76200</xdr:rowOff>
    </xdr:from>
    <xdr:ext cx="3352800" cy="207645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247650</xdr:colOff>
      <xdr:row>53</xdr:row>
      <xdr:rowOff>76200</xdr:rowOff>
    </xdr:from>
    <xdr:ext cx="3352800" cy="207645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17</xdr:col>
      <xdr:colOff>276225</xdr:colOff>
      <xdr:row>53</xdr:row>
      <xdr:rowOff>76200</xdr:rowOff>
    </xdr:from>
    <xdr:ext cx="3352800" cy="207645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</xdr:col>
      <xdr:colOff>161925</xdr:colOff>
      <xdr:row>64</xdr:row>
      <xdr:rowOff>0</xdr:rowOff>
    </xdr:from>
    <xdr:ext cx="3352800" cy="207645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10</xdr:col>
      <xdr:colOff>247650</xdr:colOff>
      <xdr:row>63</xdr:row>
      <xdr:rowOff>200025</xdr:rowOff>
    </xdr:from>
    <xdr:ext cx="3352800" cy="207645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</xdr:col>
      <xdr:colOff>161925</xdr:colOff>
      <xdr:row>74</xdr:row>
      <xdr:rowOff>180975</xdr:rowOff>
    </xdr:from>
    <xdr:ext cx="3352800" cy="207645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10</xdr:col>
      <xdr:colOff>247650</xdr:colOff>
      <xdr:row>74</xdr:row>
      <xdr:rowOff>180975</xdr:rowOff>
    </xdr:from>
    <xdr:ext cx="3352800" cy="2076450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17</xdr:col>
      <xdr:colOff>276225</xdr:colOff>
      <xdr:row>74</xdr:row>
      <xdr:rowOff>180975</xdr:rowOff>
    </xdr:from>
    <xdr:ext cx="3352800" cy="2076450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22</xdr:col>
      <xdr:colOff>352425</xdr:colOff>
      <xdr:row>62</xdr:row>
      <xdr:rowOff>190500</xdr:rowOff>
    </xdr:from>
    <xdr:ext cx="3352800" cy="2076450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3</xdr:col>
      <xdr:colOff>161925</xdr:colOff>
      <xdr:row>85</xdr:row>
      <xdr:rowOff>19050</xdr:rowOff>
    </xdr:from>
    <xdr:ext cx="3352800" cy="2076450"/>
    <xdr:graphicFrame macro="">
      <xdr:nvGraphicFramePr>
        <xdr:cNvPr id="14" name="Chart 13" title="Char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10</xdr:col>
      <xdr:colOff>247650</xdr:colOff>
      <xdr:row>85</xdr:row>
      <xdr:rowOff>19050</xdr:rowOff>
    </xdr:from>
    <xdr:ext cx="3352800" cy="2076450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3</xdr:col>
      <xdr:colOff>161925</xdr:colOff>
      <xdr:row>95</xdr:row>
      <xdr:rowOff>123825</xdr:rowOff>
    </xdr:from>
    <xdr:ext cx="3352800" cy="2076450"/>
    <xdr:graphicFrame macro="">
      <xdr:nvGraphicFramePr>
        <xdr:cNvPr id="16" name="Chart 15" title="Chart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10</xdr:col>
      <xdr:colOff>247650</xdr:colOff>
      <xdr:row>95</xdr:row>
      <xdr:rowOff>123825</xdr:rowOff>
    </xdr:from>
    <xdr:ext cx="3352800" cy="2076450"/>
    <xdr:graphicFrame macro="">
      <xdr:nvGraphicFramePr>
        <xdr:cNvPr id="17" name="Chart 16" title="Char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17</xdr:col>
      <xdr:colOff>276225</xdr:colOff>
      <xdr:row>95</xdr:row>
      <xdr:rowOff>57150</xdr:rowOff>
    </xdr:from>
    <xdr:ext cx="3352800" cy="2076450"/>
    <xdr:graphicFrame macro="">
      <xdr:nvGraphicFramePr>
        <xdr:cNvPr id="18" name="Chart 17" title="Char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22</xdr:col>
      <xdr:colOff>485775</xdr:colOff>
      <xdr:row>84</xdr:row>
      <xdr:rowOff>152400</xdr:rowOff>
    </xdr:from>
    <xdr:ext cx="3352800" cy="2076450"/>
    <xdr:graphicFrame macro="">
      <xdr:nvGraphicFramePr>
        <xdr:cNvPr id="19" name="Chart 18" title="Chart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3</xdr:col>
      <xdr:colOff>161925</xdr:colOff>
      <xdr:row>106</xdr:row>
      <xdr:rowOff>19050</xdr:rowOff>
    </xdr:from>
    <xdr:ext cx="3352800" cy="2076450"/>
    <xdr:graphicFrame macro="">
      <xdr:nvGraphicFramePr>
        <xdr:cNvPr id="20" name="Chart 19" title="Chart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oneCellAnchor>
  <xdr:oneCellAnchor>
    <xdr:from>
      <xdr:col>10</xdr:col>
      <xdr:colOff>247650</xdr:colOff>
      <xdr:row>106</xdr:row>
      <xdr:rowOff>19050</xdr:rowOff>
    </xdr:from>
    <xdr:ext cx="3352800" cy="2076450"/>
    <xdr:graphicFrame macro="">
      <xdr:nvGraphicFramePr>
        <xdr:cNvPr id="21" name="Chart 20" title="Chart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 fLocksWithSheet="0"/>
  </xdr:oneCellAnchor>
  <xdr:oneCellAnchor>
    <xdr:from>
      <xdr:col>17</xdr:col>
      <xdr:colOff>276225</xdr:colOff>
      <xdr:row>106</xdr:row>
      <xdr:rowOff>19050</xdr:rowOff>
    </xdr:from>
    <xdr:ext cx="3352800" cy="2076450"/>
    <xdr:graphicFrame macro="">
      <xdr:nvGraphicFramePr>
        <xdr:cNvPr id="22" name="Chart 21" title="Chart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oneCellAnchor>
  <xdr:oneCellAnchor>
    <xdr:from>
      <xdr:col>22</xdr:col>
      <xdr:colOff>485775</xdr:colOff>
      <xdr:row>111</xdr:row>
      <xdr:rowOff>152400</xdr:rowOff>
    </xdr:from>
    <xdr:ext cx="3352800" cy="2076450"/>
    <xdr:graphicFrame macro="">
      <xdr:nvGraphicFramePr>
        <xdr:cNvPr id="23" name="Chart 22" title="Chart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oneCellAnchor>
    <xdr:from>
      <xdr:col>3</xdr:col>
      <xdr:colOff>161925</xdr:colOff>
      <xdr:row>116</xdr:row>
      <xdr:rowOff>123825</xdr:rowOff>
    </xdr:from>
    <xdr:ext cx="3352800" cy="2076450"/>
    <xdr:graphicFrame macro="">
      <xdr:nvGraphicFramePr>
        <xdr:cNvPr id="24" name="Chart 23" title="Chart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oneCellAnchor>
  <xdr:oneCellAnchor>
    <xdr:from>
      <xdr:col>3</xdr:col>
      <xdr:colOff>161925</xdr:colOff>
      <xdr:row>127</xdr:row>
      <xdr:rowOff>19050</xdr:rowOff>
    </xdr:from>
    <xdr:ext cx="3352800" cy="2076450"/>
    <xdr:graphicFrame macro="">
      <xdr:nvGraphicFramePr>
        <xdr:cNvPr id="25" name="Chart 24" title="Chart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 fLocksWithSheet="0"/>
  </xdr:oneCellAnchor>
  <xdr:oneCellAnchor>
    <xdr:from>
      <xdr:col>10</xdr:col>
      <xdr:colOff>247650</xdr:colOff>
      <xdr:row>126</xdr:row>
      <xdr:rowOff>171450</xdr:rowOff>
    </xdr:from>
    <xdr:ext cx="3352800" cy="2076450"/>
    <xdr:graphicFrame macro="">
      <xdr:nvGraphicFramePr>
        <xdr:cNvPr id="26" name="Chart 25" title="Chart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 fLocksWithSheet="0"/>
  </xdr:oneCellAnchor>
  <xdr:oneCellAnchor>
    <xdr:from>
      <xdr:col>17</xdr:col>
      <xdr:colOff>276225</xdr:colOff>
      <xdr:row>127</xdr:row>
      <xdr:rowOff>19050</xdr:rowOff>
    </xdr:from>
    <xdr:ext cx="3352800" cy="2076450"/>
    <xdr:graphicFrame macro="">
      <xdr:nvGraphicFramePr>
        <xdr:cNvPr id="27" name="Chart 26" title="Chart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 fLocksWithSheet="0"/>
  </xdr:oneCellAnchor>
  <xdr:oneCellAnchor>
    <xdr:from>
      <xdr:col>22</xdr:col>
      <xdr:colOff>485775</xdr:colOff>
      <xdr:row>132</xdr:row>
      <xdr:rowOff>38100</xdr:rowOff>
    </xdr:from>
    <xdr:ext cx="3352800" cy="2076450"/>
    <xdr:graphicFrame macro="">
      <xdr:nvGraphicFramePr>
        <xdr:cNvPr id="28" name="Chart 27" title="Chart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 fLocksWithSheet="0"/>
  </xdr:oneCellAnchor>
  <xdr:oneCellAnchor>
    <xdr:from>
      <xdr:col>3</xdr:col>
      <xdr:colOff>161925</xdr:colOff>
      <xdr:row>137</xdr:row>
      <xdr:rowOff>123825</xdr:rowOff>
    </xdr:from>
    <xdr:ext cx="3352800" cy="2076450"/>
    <xdr:graphicFrame macro="">
      <xdr:nvGraphicFramePr>
        <xdr:cNvPr id="29" name="Chart 28" title="Chart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 fLocksWithSheet="0"/>
  </xdr:oneCellAnchor>
  <xdr:oneCellAnchor>
    <xdr:from>
      <xdr:col>3</xdr:col>
      <xdr:colOff>161925</xdr:colOff>
      <xdr:row>148</xdr:row>
      <xdr:rowOff>95250</xdr:rowOff>
    </xdr:from>
    <xdr:ext cx="3352800" cy="2076450"/>
    <xdr:graphicFrame macro="">
      <xdr:nvGraphicFramePr>
        <xdr:cNvPr id="30" name="Chart 29" title="Chart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 fLocksWithSheet="0"/>
  </xdr:oneCellAnchor>
  <xdr:oneCellAnchor>
    <xdr:from>
      <xdr:col>10</xdr:col>
      <xdr:colOff>247650</xdr:colOff>
      <xdr:row>148</xdr:row>
      <xdr:rowOff>95250</xdr:rowOff>
    </xdr:from>
    <xdr:ext cx="3352800" cy="2076450"/>
    <xdr:graphicFrame macro="">
      <xdr:nvGraphicFramePr>
        <xdr:cNvPr id="31" name="Chart 30" title="Chart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 fLocksWithSheet="0"/>
  </xdr:oneCellAnchor>
  <xdr:oneCellAnchor>
    <xdr:from>
      <xdr:col>3</xdr:col>
      <xdr:colOff>161925</xdr:colOff>
      <xdr:row>160</xdr:row>
      <xdr:rowOff>47625</xdr:rowOff>
    </xdr:from>
    <xdr:ext cx="3352800" cy="2076450"/>
    <xdr:graphicFrame macro="">
      <xdr:nvGraphicFramePr>
        <xdr:cNvPr id="32" name="Chart 31" title="Chart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22" max="22" width="15.7109375" customWidth="1"/>
  </cols>
  <sheetData>
    <row r="1" spans="1:26" x14ac:dyDescent="0.2">
      <c r="A1" s="1"/>
      <c r="B1" s="1"/>
      <c r="C1" s="1" t="s">
        <v>0</v>
      </c>
      <c r="D1" s="1" t="s">
        <v>2</v>
      </c>
      <c r="E1" s="1" t="s">
        <v>2</v>
      </c>
      <c r="F1" s="1" t="s">
        <v>1</v>
      </c>
      <c r="G1" s="1" t="s">
        <v>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1" t="s">
        <v>18</v>
      </c>
      <c r="X1" s="8"/>
      <c r="Y1" s="1"/>
      <c r="Z1" s="1"/>
    </row>
    <row r="2" spans="1:26" x14ac:dyDescent="0.2">
      <c r="A2" s="11" t="s">
        <v>19</v>
      </c>
      <c r="B2" s="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0">
        <f>AVERAGE(C3:V5)</f>
        <v>3.7833333333333332</v>
      </c>
      <c r="X2" s="8"/>
      <c r="Y2" s="2"/>
      <c r="Z2" s="2"/>
    </row>
    <row r="3" spans="1:26" x14ac:dyDescent="0.2">
      <c r="A3" s="2"/>
      <c r="B3" s="2"/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3">
        <v>3</v>
      </c>
      <c r="K3" s="3">
        <v>4</v>
      </c>
      <c r="L3" s="3">
        <v>4</v>
      </c>
      <c r="M3" s="3">
        <v>3</v>
      </c>
      <c r="N3" s="3">
        <v>4</v>
      </c>
      <c r="O3" s="3">
        <v>4</v>
      </c>
      <c r="P3" s="3">
        <v>3</v>
      </c>
      <c r="Q3" s="3">
        <v>4</v>
      </c>
      <c r="R3" s="3">
        <v>4</v>
      </c>
      <c r="S3" s="3">
        <v>4</v>
      </c>
      <c r="T3" s="3">
        <v>3</v>
      </c>
      <c r="U3" s="3">
        <v>4</v>
      </c>
      <c r="V3" s="3">
        <v>3</v>
      </c>
      <c r="W3" s="9">
        <f t="shared" ref="W3:W5" si="0">AVERAGE(C3:V3)</f>
        <v>3.75</v>
      </c>
      <c r="X3" s="8"/>
      <c r="Y3" s="2"/>
      <c r="Z3" s="2"/>
    </row>
    <row r="4" spans="1:26" x14ac:dyDescent="0.2">
      <c r="A4" s="2"/>
      <c r="B4" s="2"/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4</v>
      </c>
      <c r="I4" s="2">
        <v>4</v>
      </c>
      <c r="J4" s="3">
        <v>4</v>
      </c>
      <c r="K4" s="3">
        <v>4</v>
      </c>
      <c r="L4" s="3">
        <v>4</v>
      </c>
      <c r="M4" s="3">
        <v>3</v>
      </c>
      <c r="N4" s="3">
        <v>4</v>
      </c>
      <c r="O4" s="3">
        <v>4</v>
      </c>
      <c r="P4" s="3">
        <v>4</v>
      </c>
      <c r="Q4" s="3">
        <v>4</v>
      </c>
      <c r="R4" s="3">
        <v>4</v>
      </c>
      <c r="S4" s="3">
        <v>4</v>
      </c>
      <c r="T4" s="3">
        <v>4</v>
      </c>
      <c r="U4" s="3">
        <v>4</v>
      </c>
      <c r="V4" s="3">
        <v>3</v>
      </c>
      <c r="W4" s="9">
        <f t="shared" si="0"/>
        <v>3.8</v>
      </c>
      <c r="X4" s="8"/>
      <c r="Y4" s="2"/>
      <c r="Z4" s="2"/>
    </row>
    <row r="5" spans="1:26" x14ac:dyDescent="0.2">
      <c r="A5" s="2"/>
      <c r="B5" s="2"/>
      <c r="C5" s="2">
        <v>4</v>
      </c>
      <c r="D5" s="2">
        <v>4</v>
      </c>
      <c r="E5" s="2">
        <v>4</v>
      </c>
      <c r="F5" s="2">
        <v>4</v>
      </c>
      <c r="G5" s="2">
        <v>4</v>
      </c>
      <c r="H5" s="2">
        <v>4</v>
      </c>
      <c r="I5" s="2">
        <v>4</v>
      </c>
      <c r="J5" s="3">
        <v>3</v>
      </c>
      <c r="K5" s="3">
        <v>4</v>
      </c>
      <c r="L5" s="3">
        <v>4</v>
      </c>
      <c r="M5" s="3">
        <v>3</v>
      </c>
      <c r="N5" s="3">
        <v>4</v>
      </c>
      <c r="O5" s="3">
        <v>4</v>
      </c>
      <c r="P5" s="3">
        <v>3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3</v>
      </c>
      <c r="W5" s="9">
        <f t="shared" si="0"/>
        <v>3.8</v>
      </c>
      <c r="X5" s="8"/>
      <c r="Y5" s="2"/>
      <c r="Z5" s="2"/>
    </row>
    <row r="6" spans="1:26" x14ac:dyDescent="0.2">
      <c r="A6" s="11" t="s">
        <v>20</v>
      </c>
      <c r="B6" s="8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0">
        <f>AVERAGE(C7:V9)</f>
        <v>3.65</v>
      </c>
      <c r="X6" s="8"/>
      <c r="Y6" s="2"/>
      <c r="Z6" s="2"/>
    </row>
    <row r="7" spans="1:26" x14ac:dyDescent="0.2">
      <c r="A7" s="2"/>
      <c r="B7" s="2"/>
      <c r="C7" s="2">
        <v>4</v>
      </c>
      <c r="D7" s="2">
        <v>3</v>
      </c>
      <c r="E7" s="2">
        <v>3</v>
      </c>
      <c r="F7" s="2">
        <v>4</v>
      </c>
      <c r="G7" s="2">
        <v>3</v>
      </c>
      <c r="H7" s="2">
        <v>4</v>
      </c>
      <c r="I7" s="2">
        <v>3</v>
      </c>
      <c r="J7" s="3">
        <v>4</v>
      </c>
      <c r="K7" s="3">
        <v>4</v>
      </c>
      <c r="L7" s="3">
        <v>4</v>
      </c>
      <c r="M7" s="3">
        <v>3</v>
      </c>
      <c r="N7" s="3">
        <v>4</v>
      </c>
      <c r="O7" s="3">
        <v>3</v>
      </c>
      <c r="P7" s="3">
        <v>3</v>
      </c>
      <c r="Q7" s="3">
        <v>3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9">
        <f t="shared" ref="W7:W9" si="1">AVERAGE(C7:V7)</f>
        <v>3.6</v>
      </c>
      <c r="X7" s="8"/>
      <c r="Y7" s="2"/>
      <c r="Z7" s="2"/>
    </row>
    <row r="8" spans="1:26" x14ac:dyDescent="0.2">
      <c r="A8" s="2"/>
      <c r="B8" s="2"/>
      <c r="C8" s="2">
        <v>4</v>
      </c>
      <c r="D8" s="2">
        <v>4</v>
      </c>
      <c r="E8" s="2">
        <v>3</v>
      </c>
      <c r="F8" s="2">
        <v>4</v>
      </c>
      <c r="G8" s="2">
        <v>4</v>
      </c>
      <c r="H8" s="2">
        <v>4</v>
      </c>
      <c r="I8" s="2">
        <v>3</v>
      </c>
      <c r="J8" s="3">
        <v>4</v>
      </c>
      <c r="K8" s="3">
        <v>4</v>
      </c>
      <c r="L8" s="3">
        <v>4</v>
      </c>
      <c r="M8" s="3">
        <v>4</v>
      </c>
      <c r="N8" s="3">
        <v>4</v>
      </c>
      <c r="O8" s="3">
        <v>3</v>
      </c>
      <c r="P8" s="3">
        <v>3</v>
      </c>
      <c r="Q8" s="3">
        <v>3</v>
      </c>
      <c r="R8" s="3">
        <v>4</v>
      </c>
      <c r="S8" s="3">
        <v>4</v>
      </c>
      <c r="T8" s="3">
        <v>4</v>
      </c>
      <c r="U8" s="3">
        <v>3</v>
      </c>
      <c r="V8" s="3">
        <v>3</v>
      </c>
      <c r="W8" s="9">
        <f t="shared" si="1"/>
        <v>3.65</v>
      </c>
      <c r="X8" s="8"/>
      <c r="Y8" s="2"/>
      <c r="Z8" s="2"/>
    </row>
    <row r="9" spans="1:26" x14ac:dyDescent="0.2">
      <c r="A9" s="2"/>
      <c r="B9" s="2"/>
      <c r="C9" s="2">
        <v>4</v>
      </c>
      <c r="D9" s="2">
        <v>4</v>
      </c>
      <c r="E9" s="2">
        <v>3</v>
      </c>
      <c r="F9" s="2">
        <v>4</v>
      </c>
      <c r="G9" s="2">
        <v>4</v>
      </c>
      <c r="H9" s="2">
        <v>4</v>
      </c>
      <c r="I9" s="2">
        <v>4</v>
      </c>
      <c r="J9" s="3">
        <v>3</v>
      </c>
      <c r="K9" s="3">
        <v>4</v>
      </c>
      <c r="L9" s="3">
        <v>4</v>
      </c>
      <c r="M9" s="3">
        <v>3</v>
      </c>
      <c r="N9" s="3">
        <v>4</v>
      </c>
      <c r="O9" s="3">
        <v>3</v>
      </c>
      <c r="P9" s="3">
        <v>3</v>
      </c>
      <c r="Q9" s="3">
        <v>4</v>
      </c>
      <c r="R9" s="3">
        <v>4</v>
      </c>
      <c r="S9" s="3">
        <v>4</v>
      </c>
      <c r="T9" s="3">
        <v>4</v>
      </c>
      <c r="U9" s="3">
        <v>3</v>
      </c>
      <c r="V9" s="3">
        <v>4</v>
      </c>
      <c r="W9" s="9">
        <f t="shared" si="1"/>
        <v>3.7</v>
      </c>
      <c r="X9" s="8"/>
      <c r="Y9" s="2"/>
      <c r="Z9" s="2"/>
    </row>
    <row r="10" spans="1:26" x14ac:dyDescent="0.2">
      <c r="A10" s="11" t="s">
        <v>21</v>
      </c>
      <c r="B10" s="8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0">
        <f>AVERAGE(C11:V12)</f>
        <v>3.7749999999999999</v>
      </c>
      <c r="X10" s="8"/>
      <c r="Y10" s="2"/>
      <c r="Z10" s="2"/>
    </row>
    <row r="11" spans="1:26" x14ac:dyDescent="0.2">
      <c r="A11" s="2"/>
      <c r="B11" s="2"/>
      <c r="C11" s="2">
        <v>4</v>
      </c>
      <c r="D11" s="2">
        <v>3</v>
      </c>
      <c r="E11" s="2">
        <v>3</v>
      </c>
      <c r="F11" s="2">
        <v>3</v>
      </c>
      <c r="G11" s="2">
        <v>4</v>
      </c>
      <c r="H11" s="2">
        <v>4</v>
      </c>
      <c r="I11" s="2">
        <v>4</v>
      </c>
      <c r="J11" s="3">
        <v>4</v>
      </c>
      <c r="K11" s="3">
        <v>3</v>
      </c>
      <c r="L11" s="3">
        <v>4</v>
      </c>
      <c r="M11" s="3">
        <v>4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>
        <v>4</v>
      </c>
      <c r="T11" s="3">
        <v>4</v>
      </c>
      <c r="U11" s="3">
        <v>4</v>
      </c>
      <c r="V11" s="3">
        <v>4</v>
      </c>
      <c r="W11" s="9">
        <f t="shared" ref="W11:W12" si="2">AVERAGE(C11:V11)</f>
        <v>3.8</v>
      </c>
      <c r="X11" s="8"/>
      <c r="Y11" s="2"/>
      <c r="Z11" s="2"/>
    </row>
    <row r="12" spans="1:26" x14ac:dyDescent="0.2">
      <c r="A12" s="2"/>
      <c r="B12" s="2"/>
      <c r="C12" s="2">
        <v>4</v>
      </c>
      <c r="D12" s="2">
        <v>4</v>
      </c>
      <c r="E12" s="2">
        <v>3</v>
      </c>
      <c r="F12" s="2">
        <v>4</v>
      </c>
      <c r="G12" s="2">
        <v>4</v>
      </c>
      <c r="H12" s="2">
        <v>4</v>
      </c>
      <c r="I12" s="2">
        <v>3</v>
      </c>
      <c r="J12" s="3">
        <v>3</v>
      </c>
      <c r="K12" s="3">
        <v>3</v>
      </c>
      <c r="L12" s="3">
        <v>4</v>
      </c>
      <c r="M12" s="3">
        <v>4</v>
      </c>
      <c r="N12" s="3">
        <v>4</v>
      </c>
      <c r="O12" s="3">
        <v>4</v>
      </c>
      <c r="P12" s="3">
        <v>4</v>
      </c>
      <c r="Q12" s="3">
        <v>3</v>
      </c>
      <c r="R12" s="3">
        <v>4</v>
      </c>
      <c r="S12" s="3">
        <v>4</v>
      </c>
      <c r="T12" s="3">
        <v>4</v>
      </c>
      <c r="U12" s="3">
        <v>4</v>
      </c>
      <c r="V12" s="3">
        <v>4</v>
      </c>
      <c r="W12" s="9">
        <f t="shared" si="2"/>
        <v>3.75</v>
      </c>
      <c r="X12" s="8"/>
      <c r="Y12" s="2"/>
      <c r="Z12" s="2"/>
    </row>
    <row r="13" spans="1:26" x14ac:dyDescent="0.2">
      <c r="A13" s="11" t="s">
        <v>22</v>
      </c>
      <c r="B13" s="8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10">
        <f>AVERAGE(C14:V19)</f>
        <v>3.8</v>
      </c>
      <c r="X13" s="8"/>
      <c r="Y13" s="2"/>
      <c r="Z13" s="2"/>
    </row>
    <row r="14" spans="1:26" x14ac:dyDescent="0.2">
      <c r="A14" s="2"/>
      <c r="B14" s="2"/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3">
        <v>3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v>4</v>
      </c>
      <c r="U14" s="3">
        <v>3</v>
      </c>
      <c r="V14" s="3">
        <v>4</v>
      </c>
      <c r="W14" s="9">
        <f t="shared" ref="W14:W19" si="3">AVERAGE(C14:V14)</f>
        <v>3.9</v>
      </c>
      <c r="X14" s="8"/>
      <c r="Y14" s="2"/>
      <c r="Z14" s="2"/>
    </row>
    <row r="15" spans="1:26" x14ac:dyDescent="0.2">
      <c r="A15" s="2"/>
      <c r="B15" s="2"/>
      <c r="C15" s="2">
        <v>4</v>
      </c>
      <c r="D15" s="2">
        <v>3</v>
      </c>
      <c r="E15" s="2">
        <v>3</v>
      </c>
      <c r="F15" s="2">
        <v>2</v>
      </c>
      <c r="G15" s="2">
        <v>4</v>
      </c>
      <c r="H15" s="2">
        <v>4</v>
      </c>
      <c r="I15" s="3">
        <v>4</v>
      </c>
      <c r="J15" s="3">
        <v>3</v>
      </c>
      <c r="K15" s="3">
        <v>4</v>
      </c>
      <c r="L15" s="3">
        <v>4</v>
      </c>
      <c r="M15" s="3">
        <v>4</v>
      </c>
      <c r="N15" s="3">
        <v>4</v>
      </c>
      <c r="O15" s="3">
        <v>3</v>
      </c>
      <c r="P15" s="3">
        <v>4</v>
      </c>
      <c r="Q15" s="3">
        <v>3</v>
      </c>
      <c r="R15" s="3">
        <v>3</v>
      </c>
      <c r="S15" s="3">
        <v>4</v>
      </c>
      <c r="T15" s="3">
        <v>4</v>
      </c>
      <c r="U15" s="3">
        <v>3</v>
      </c>
      <c r="V15" s="3">
        <v>4</v>
      </c>
      <c r="W15" s="9">
        <f t="shared" si="3"/>
        <v>3.55</v>
      </c>
      <c r="X15" s="8"/>
      <c r="Y15" s="2"/>
      <c r="Z15" s="2"/>
    </row>
    <row r="16" spans="1:26" x14ac:dyDescent="0.2">
      <c r="A16" s="2"/>
      <c r="B16" s="2"/>
      <c r="C16" s="2">
        <v>4</v>
      </c>
      <c r="D16" s="2">
        <v>4</v>
      </c>
      <c r="E16" s="2">
        <v>3</v>
      </c>
      <c r="F16" s="2">
        <v>3</v>
      </c>
      <c r="G16" s="2">
        <v>4</v>
      </c>
      <c r="H16" s="2">
        <v>4</v>
      </c>
      <c r="I16" s="3">
        <v>3</v>
      </c>
      <c r="J16" s="3">
        <v>3</v>
      </c>
      <c r="K16" s="3">
        <v>4</v>
      </c>
      <c r="L16" s="3">
        <v>4</v>
      </c>
      <c r="M16" s="3">
        <v>3</v>
      </c>
      <c r="N16" s="3">
        <v>4</v>
      </c>
      <c r="O16" s="3">
        <v>4</v>
      </c>
      <c r="P16" s="3">
        <v>4</v>
      </c>
      <c r="Q16" s="3">
        <v>4</v>
      </c>
      <c r="R16" s="3">
        <v>3</v>
      </c>
      <c r="S16" s="3">
        <v>4</v>
      </c>
      <c r="T16" s="3">
        <v>4</v>
      </c>
      <c r="U16" s="3">
        <v>3</v>
      </c>
      <c r="V16" s="3">
        <v>4</v>
      </c>
      <c r="W16" s="9">
        <f t="shared" si="3"/>
        <v>3.65</v>
      </c>
      <c r="X16" s="8"/>
      <c r="Y16" s="2"/>
      <c r="Z16" s="2"/>
    </row>
    <row r="17" spans="1:26" x14ac:dyDescent="0.2">
      <c r="A17" s="2"/>
      <c r="B17" s="2"/>
      <c r="C17" s="2">
        <v>4</v>
      </c>
      <c r="D17" s="2">
        <v>4</v>
      </c>
      <c r="E17" s="2">
        <v>3</v>
      </c>
      <c r="F17" s="2">
        <v>3</v>
      </c>
      <c r="G17" s="2">
        <v>3</v>
      </c>
      <c r="H17" s="2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3">
        <v>4</v>
      </c>
      <c r="O17" s="3">
        <v>3</v>
      </c>
      <c r="P17" s="3">
        <v>4</v>
      </c>
      <c r="Q17" s="3">
        <v>4</v>
      </c>
      <c r="R17" s="3">
        <v>4</v>
      </c>
      <c r="S17" s="3">
        <v>4</v>
      </c>
      <c r="T17" s="3">
        <v>4</v>
      </c>
      <c r="U17" s="3">
        <v>4</v>
      </c>
      <c r="V17" s="3">
        <v>4</v>
      </c>
      <c r="W17" s="9">
        <f t="shared" si="3"/>
        <v>3.8</v>
      </c>
      <c r="X17" s="8"/>
      <c r="Y17" s="2"/>
      <c r="Z17" s="2"/>
    </row>
    <row r="18" spans="1:26" x14ac:dyDescent="0.2">
      <c r="A18" s="2"/>
      <c r="B18" s="2"/>
      <c r="C18" s="2">
        <v>4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3">
        <v>3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s="3">
        <v>4</v>
      </c>
      <c r="U18" s="3">
        <v>4</v>
      </c>
      <c r="V18" s="3">
        <v>4</v>
      </c>
      <c r="W18" s="9">
        <f t="shared" si="3"/>
        <v>3.95</v>
      </c>
      <c r="X18" s="8"/>
      <c r="Y18" s="2"/>
      <c r="Z18" s="2"/>
    </row>
    <row r="19" spans="1:26" x14ac:dyDescent="0.2">
      <c r="A19" s="2"/>
      <c r="B19" s="2"/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3">
        <v>4</v>
      </c>
      <c r="J19" s="3">
        <v>4</v>
      </c>
      <c r="K19" s="3">
        <v>4</v>
      </c>
      <c r="L19" s="3">
        <v>4</v>
      </c>
      <c r="M19" s="3">
        <v>4</v>
      </c>
      <c r="N19" s="3">
        <v>4</v>
      </c>
      <c r="O19" s="3">
        <v>3</v>
      </c>
      <c r="P19" s="3">
        <v>4</v>
      </c>
      <c r="Q19" s="3">
        <v>4</v>
      </c>
      <c r="R19" s="3">
        <v>4</v>
      </c>
      <c r="S19" s="3">
        <v>4</v>
      </c>
      <c r="T19" s="3">
        <v>4</v>
      </c>
      <c r="U19" s="3">
        <v>4</v>
      </c>
      <c r="V19" s="3">
        <v>4</v>
      </c>
      <c r="W19" s="9">
        <f t="shared" si="3"/>
        <v>3.95</v>
      </c>
      <c r="X19" s="8"/>
      <c r="Y19" s="2"/>
      <c r="Z19" s="2"/>
    </row>
    <row r="20" spans="1:26" x14ac:dyDescent="0.2">
      <c r="A20" s="11" t="s">
        <v>23</v>
      </c>
      <c r="B20" s="8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0">
        <f>AVERAGE(C21:V24)</f>
        <v>3.625</v>
      </c>
      <c r="X20" s="8"/>
      <c r="Y20" s="2"/>
      <c r="Z20" s="2"/>
    </row>
    <row r="21" spans="1:26" x14ac:dyDescent="0.2">
      <c r="A21" s="2"/>
      <c r="B21" s="2"/>
      <c r="C21" s="2">
        <v>4</v>
      </c>
      <c r="D21" s="2">
        <v>3</v>
      </c>
      <c r="E21" s="2">
        <v>3</v>
      </c>
      <c r="F21" s="2">
        <v>4</v>
      </c>
      <c r="G21" s="2">
        <v>4</v>
      </c>
      <c r="H21" s="2">
        <v>4</v>
      </c>
      <c r="I21" s="3">
        <v>3</v>
      </c>
      <c r="J21" s="3">
        <v>4</v>
      </c>
      <c r="K21" s="3">
        <v>3</v>
      </c>
      <c r="L21" s="3">
        <v>4</v>
      </c>
      <c r="M21" s="3">
        <v>3</v>
      </c>
      <c r="N21" s="3">
        <v>4</v>
      </c>
      <c r="O21" s="3">
        <v>4</v>
      </c>
      <c r="P21" s="3">
        <v>4</v>
      </c>
      <c r="Q21" s="3">
        <v>3</v>
      </c>
      <c r="R21" s="3">
        <v>3</v>
      </c>
      <c r="S21" s="3">
        <v>4</v>
      </c>
      <c r="T21" s="3">
        <v>4</v>
      </c>
      <c r="U21" s="3">
        <v>3</v>
      </c>
      <c r="V21" s="3">
        <v>3</v>
      </c>
      <c r="W21" s="9">
        <f t="shared" ref="W21:W24" si="4">AVERAGE(C21:V21)</f>
        <v>3.55</v>
      </c>
      <c r="X21" s="8"/>
      <c r="Y21" s="2"/>
      <c r="Z21" s="2"/>
    </row>
    <row r="22" spans="1:26" x14ac:dyDescent="0.2">
      <c r="A22" s="2"/>
      <c r="B22" s="2"/>
      <c r="C22" s="2">
        <v>4</v>
      </c>
      <c r="D22" s="2">
        <v>3</v>
      </c>
      <c r="E22" s="2">
        <v>3</v>
      </c>
      <c r="F22" s="2">
        <v>4</v>
      </c>
      <c r="G22" s="2">
        <v>4</v>
      </c>
      <c r="H22" s="2">
        <v>4</v>
      </c>
      <c r="I22" s="3">
        <v>3</v>
      </c>
      <c r="J22" s="3">
        <v>3</v>
      </c>
      <c r="K22" s="3">
        <v>3</v>
      </c>
      <c r="L22" s="3">
        <v>4</v>
      </c>
      <c r="M22" s="3">
        <v>3</v>
      </c>
      <c r="N22" s="3">
        <v>4</v>
      </c>
      <c r="O22" s="3">
        <v>4</v>
      </c>
      <c r="P22" s="3">
        <v>4</v>
      </c>
      <c r="Q22" s="3">
        <v>4</v>
      </c>
      <c r="R22" s="3">
        <v>4</v>
      </c>
      <c r="S22" s="3">
        <v>4</v>
      </c>
      <c r="T22" s="3">
        <v>4</v>
      </c>
      <c r="U22" s="3">
        <v>3</v>
      </c>
      <c r="V22" s="3">
        <v>4</v>
      </c>
      <c r="W22" s="9">
        <f t="shared" si="4"/>
        <v>3.65</v>
      </c>
      <c r="X22" s="8"/>
      <c r="Y22" s="2"/>
      <c r="Z22" s="2"/>
    </row>
    <row r="23" spans="1:26" x14ac:dyDescent="0.2">
      <c r="A23" s="2"/>
      <c r="B23" s="2"/>
      <c r="C23" s="2">
        <v>4</v>
      </c>
      <c r="D23" s="2">
        <v>4</v>
      </c>
      <c r="E23" s="2">
        <v>3</v>
      </c>
      <c r="F23" s="2">
        <v>3</v>
      </c>
      <c r="G23" s="2">
        <v>4</v>
      </c>
      <c r="H23" s="2">
        <v>4</v>
      </c>
      <c r="I23" s="3">
        <v>4</v>
      </c>
      <c r="J23" s="3">
        <v>4</v>
      </c>
      <c r="K23" s="3">
        <v>3</v>
      </c>
      <c r="L23" s="3">
        <v>4</v>
      </c>
      <c r="M23" s="3">
        <v>3</v>
      </c>
      <c r="N23" s="3">
        <v>4</v>
      </c>
      <c r="O23" s="3">
        <v>4</v>
      </c>
      <c r="P23" s="3">
        <v>4</v>
      </c>
      <c r="Q23" s="3">
        <v>3</v>
      </c>
      <c r="R23" s="3">
        <v>3</v>
      </c>
      <c r="S23" s="3">
        <v>4</v>
      </c>
      <c r="T23" s="3">
        <v>4</v>
      </c>
      <c r="U23" s="3">
        <v>4</v>
      </c>
      <c r="V23" s="3">
        <v>3</v>
      </c>
      <c r="W23" s="9">
        <f t="shared" si="4"/>
        <v>3.65</v>
      </c>
      <c r="X23" s="8"/>
      <c r="Y23" s="2"/>
      <c r="Z23" s="2"/>
    </row>
    <row r="24" spans="1:26" x14ac:dyDescent="0.2">
      <c r="A24" s="2"/>
      <c r="B24" s="2"/>
      <c r="C24" s="2">
        <v>4</v>
      </c>
      <c r="D24" s="2">
        <v>4</v>
      </c>
      <c r="E24" s="2">
        <v>3</v>
      </c>
      <c r="F24" s="2">
        <v>3</v>
      </c>
      <c r="G24" s="2">
        <v>4</v>
      </c>
      <c r="H24" s="2">
        <v>4</v>
      </c>
      <c r="I24" s="3">
        <v>4</v>
      </c>
      <c r="J24" s="3">
        <v>3</v>
      </c>
      <c r="K24" s="3">
        <v>3</v>
      </c>
      <c r="L24" s="3">
        <v>4</v>
      </c>
      <c r="M24" s="3">
        <v>3</v>
      </c>
      <c r="N24" s="3">
        <v>4</v>
      </c>
      <c r="O24" s="3">
        <v>4</v>
      </c>
      <c r="P24" s="3">
        <v>4</v>
      </c>
      <c r="Q24" s="3">
        <v>3</v>
      </c>
      <c r="R24" s="3">
        <v>4</v>
      </c>
      <c r="S24" s="3">
        <v>4</v>
      </c>
      <c r="T24" s="3">
        <v>4</v>
      </c>
      <c r="U24" s="3">
        <v>3</v>
      </c>
      <c r="V24" s="3">
        <v>4</v>
      </c>
      <c r="W24" s="9">
        <f t="shared" si="4"/>
        <v>3.65</v>
      </c>
      <c r="X24" s="8"/>
      <c r="Y24" s="2"/>
      <c r="Z24" s="2"/>
    </row>
    <row r="25" spans="1:26" x14ac:dyDescent="0.2">
      <c r="A25" s="11" t="s">
        <v>24</v>
      </c>
      <c r="B25" s="8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10">
        <f>AVERAGE(C26:V30)</f>
        <v>3.8</v>
      </c>
      <c r="X25" s="8"/>
      <c r="Y25" s="2"/>
      <c r="Z25" s="2"/>
    </row>
    <row r="26" spans="1:26" x14ac:dyDescent="0.2">
      <c r="A26" s="2"/>
      <c r="B26" s="2"/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3">
        <v>4</v>
      </c>
      <c r="J26" s="3">
        <v>3</v>
      </c>
      <c r="K26" s="3">
        <v>3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3</v>
      </c>
      <c r="R26" s="3">
        <v>4</v>
      </c>
      <c r="S26" s="3">
        <v>4</v>
      </c>
      <c r="T26" s="3">
        <v>4</v>
      </c>
      <c r="U26" s="3">
        <v>4</v>
      </c>
      <c r="V26" s="3">
        <v>4</v>
      </c>
      <c r="W26" s="9">
        <f t="shared" ref="W26:W30" si="5">AVERAGE(C26:V26)</f>
        <v>3.85</v>
      </c>
      <c r="X26" s="8"/>
      <c r="Y26" s="2"/>
      <c r="Z26" s="2"/>
    </row>
    <row r="27" spans="1:26" x14ac:dyDescent="0.2">
      <c r="A27" s="2"/>
      <c r="B27" s="2"/>
      <c r="C27" s="2">
        <v>4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3">
        <v>4</v>
      </c>
      <c r="J27" s="3">
        <v>4</v>
      </c>
      <c r="K27" s="3">
        <v>4</v>
      </c>
      <c r="L27" s="3">
        <v>4</v>
      </c>
      <c r="M27" s="3">
        <v>3</v>
      </c>
      <c r="N27" s="3">
        <v>4</v>
      </c>
      <c r="O27" s="3">
        <v>4</v>
      </c>
      <c r="P27" s="3">
        <v>4</v>
      </c>
      <c r="Q27" s="3">
        <v>3</v>
      </c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9">
        <f t="shared" si="5"/>
        <v>3.9</v>
      </c>
      <c r="X27" s="8"/>
      <c r="Y27" s="2"/>
      <c r="Z27" s="2"/>
    </row>
    <row r="28" spans="1:26" x14ac:dyDescent="0.2">
      <c r="A28" s="2"/>
      <c r="B28" s="2"/>
      <c r="C28" s="2">
        <v>4</v>
      </c>
      <c r="D28" s="2">
        <v>4</v>
      </c>
      <c r="E28" s="2">
        <v>4</v>
      </c>
      <c r="F28" s="2">
        <v>3</v>
      </c>
      <c r="G28" s="2">
        <v>3</v>
      </c>
      <c r="H28" s="2">
        <v>4</v>
      </c>
      <c r="I28" s="3">
        <v>4</v>
      </c>
      <c r="J28" s="3">
        <v>4</v>
      </c>
      <c r="K28" s="3">
        <v>3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  <c r="Q28" s="3">
        <v>3</v>
      </c>
      <c r="R28" s="3">
        <v>4</v>
      </c>
      <c r="S28" s="3">
        <v>4</v>
      </c>
      <c r="T28" s="3">
        <v>4</v>
      </c>
      <c r="U28" s="3">
        <v>4</v>
      </c>
      <c r="V28" s="3">
        <v>4</v>
      </c>
      <c r="W28" s="9">
        <f t="shared" si="5"/>
        <v>3.8</v>
      </c>
      <c r="X28" s="8"/>
      <c r="Y28" s="2"/>
      <c r="Z28" s="2"/>
    </row>
    <row r="29" spans="1:26" x14ac:dyDescent="0.2">
      <c r="A29" s="2"/>
      <c r="B29" s="2"/>
      <c r="C29" s="2">
        <v>4</v>
      </c>
      <c r="D29" s="2">
        <v>4</v>
      </c>
      <c r="E29" s="2">
        <v>3</v>
      </c>
      <c r="F29" s="2">
        <v>3</v>
      </c>
      <c r="G29" s="2">
        <v>3</v>
      </c>
      <c r="H29" s="2">
        <v>4</v>
      </c>
      <c r="I29" s="3">
        <v>4</v>
      </c>
      <c r="J29" s="3">
        <v>4</v>
      </c>
      <c r="K29" s="3">
        <v>4</v>
      </c>
      <c r="L29" s="3">
        <v>4</v>
      </c>
      <c r="M29" s="3">
        <v>3</v>
      </c>
      <c r="N29" s="3">
        <v>4</v>
      </c>
      <c r="O29" s="3">
        <v>4</v>
      </c>
      <c r="P29" s="3">
        <v>4</v>
      </c>
      <c r="Q29" s="3">
        <v>3</v>
      </c>
      <c r="R29" s="3">
        <v>4</v>
      </c>
      <c r="S29" s="3">
        <v>4</v>
      </c>
      <c r="T29" s="3">
        <v>4</v>
      </c>
      <c r="U29" s="3">
        <v>4</v>
      </c>
      <c r="V29" s="3">
        <v>3</v>
      </c>
      <c r="W29" s="9">
        <f t="shared" si="5"/>
        <v>3.7</v>
      </c>
      <c r="X29" s="8"/>
      <c r="Y29" s="2"/>
      <c r="Z29" s="2"/>
    </row>
    <row r="30" spans="1:26" x14ac:dyDescent="0.2">
      <c r="A30" s="2"/>
      <c r="B30" s="2"/>
      <c r="C30" s="2">
        <v>4</v>
      </c>
      <c r="D30" s="2">
        <v>4</v>
      </c>
      <c r="E30" s="2">
        <v>3</v>
      </c>
      <c r="F30" s="2">
        <v>4</v>
      </c>
      <c r="G30" s="2">
        <v>3</v>
      </c>
      <c r="H30" s="2">
        <v>4</v>
      </c>
      <c r="I30" s="3">
        <v>4</v>
      </c>
      <c r="J30" s="3">
        <v>4</v>
      </c>
      <c r="K30" s="3">
        <v>3</v>
      </c>
      <c r="L30" s="3">
        <v>4</v>
      </c>
      <c r="M30" s="3">
        <v>4</v>
      </c>
      <c r="N30" s="3">
        <v>4</v>
      </c>
      <c r="O30" s="3">
        <v>4</v>
      </c>
      <c r="P30" s="3">
        <v>4</v>
      </c>
      <c r="Q30" s="3">
        <v>3</v>
      </c>
      <c r="R30" s="3">
        <v>4</v>
      </c>
      <c r="S30" s="3">
        <v>4</v>
      </c>
      <c r="T30" s="3">
        <v>4</v>
      </c>
      <c r="U30" s="3">
        <v>4</v>
      </c>
      <c r="V30" s="3">
        <v>3</v>
      </c>
      <c r="W30" s="9">
        <f t="shared" si="5"/>
        <v>3.75</v>
      </c>
      <c r="X30" s="8"/>
      <c r="Y30" s="2"/>
      <c r="Z30" s="2"/>
    </row>
    <row r="31" spans="1:26" x14ac:dyDescent="0.2">
      <c r="A31" s="11" t="s">
        <v>25</v>
      </c>
      <c r="B31" s="8"/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10">
        <f>AVERAGE(C32:V36)</f>
        <v>3.87</v>
      </c>
      <c r="X31" s="8"/>
      <c r="Y31" s="2"/>
      <c r="Z31" s="2"/>
    </row>
    <row r="32" spans="1:26" x14ac:dyDescent="0.2">
      <c r="A32" s="2"/>
      <c r="B32" s="2"/>
      <c r="C32" s="2">
        <v>4</v>
      </c>
      <c r="D32" s="2">
        <v>3</v>
      </c>
      <c r="E32" s="2">
        <v>4</v>
      </c>
      <c r="F32" s="2">
        <v>4</v>
      </c>
      <c r="G32" s="2">
        <v>4</v>
      </c>
      <c r="H32" s="2">
        <v>4</v>
      </c>
      <c r="I32" s="3">
        <v>4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4</v>
      </c>
      <c r="P32" s="3">
        <v>4</v>
      </c>
      <c r="Q32" s="3">
        <v>4</v>
      </c>
      <c r="R32" s="3">
        <v>3</v>
      </c>
      <c r="S32" s="3">
        <v>4</v>
      </c>
      <c r="T32" s="3">
        <v>4</v>
      </c>
      <c r="U32" s="3">
        <v>4</v>
      </c>
      <c r="V32" s="3">
        <v>4</v>
      </c>
      <c r="W32" s="9">
        <f t="shared" ref="W32:W36" si="6">AVERAGE(C32:V32)</f>
        <v>3.9</v>
      </c>
      <c r="X32" s="8"/>
      <c r="Y32" s="2"/>
      <c r="Z32" s="2"/>
    </row>
    <row r="33" spans="1:26" x14ac:dyDescent="0.2">
      <c r="A33" s="2"/>
      <c r="B33" s="2"/>
      <c r="C33" s="2">
        <v>4</v>
      </c>
      <c r="D33" s="2">
        <v>4</v>
      </c>
      <c r="E33" s="2">
        <v>3</v>
      </c>
      <c r="F33" s="2">
        <v>3</v>
      </c>
      <c r="G33" s="2">
        <v>4</v>
      </c>
      <c r="H33" s="2">
        <v>4</v>
      </c>
      <c r="I33" s="3">
        <v>4</v>
      </c>
      <c r="J33" s="3">
        <v>4</v>
      </c>
      <c r="K33" s="3">
        <v>3</v>
      </c>
      <c r="L33" s="3">
        <v>4</v>
      </c>
      <c r="M33" s="3">
        <v>4</v>
      </c>
      <c r="N33" s="3">
        <v>4</v>
      </c>
      <c r="O33" s="3">
        <v>4</v>
      </c>
      <c r="P33" s="3">
        <v>4</v>
      </c>
      <c r="Q33" s="3">
        <v>4</v>
      </c>
      <c r="R33" s="3">
        <v>3</v>
      </c>
      <c r="S33" s="3">
        <v>4</v>
      </c>
      <c r="T33" s="3">
        <v>4</v>
      </c>
      <c r="U33" s="3">
        <v>4</v>
      </c>
      <c r="V33" s="3">
        <v>4</v>
      </c>
      <c r="W33" s="9">
        <f t="shared" si="6"/>
        <v>3.8</v>
      </c>
      <c r="X33" s="8"/>
      <c r="Y33" s="2"/>
      <c r="Z33" s="2"/>
    </row>
    <row r="34" spans="1:26" x14ac:dyDescent="0.2">
      <c r="A34" s="2"/>
      <c r="B34" s="2"/>
      <c r="C34" s="2">
        <v>4</v>
      </c>
      <c r="D34" s="2">
        <v>3</v>
      </c>
      <c r="E34" s="2">
        <v>4</v>
      </c>
      <c r="F34" s="2">
        <v>3</v>
      </c>
      <c r="G34" s="2">
        <v>3</v>
      </c>
      <c r="H34" s="2">
        <v>4</v>
      </c>
      <c r="I34" s="3">
        <v>4</v>
      </c>
      <c r="J34" s="3">
        <v>4</v>
      </c>
      <c r="K34" s="3">
        <v>4</v>
      </c>
      <c r="L34" s="3">
        <v>4</v>
      </c>
      <c r="M34" s="3">
        <v>4</v>
      </c>
      <c r="N34" s="3">
        <v>4</v>
      </c>
      <c r="O34" s="3">
        <v>4</v>
      </c>
      <c r="P34" s="3">
        <v>4</v>
      </c>
      <c r="Q34" s="3">
        <v>4</v>
      </c>
      <c r="R34" s="3">
        <v>4</v>
      </c>
      <c r="S34" s="3">
        <v>4</v>
      </c>
      <c r="T34" s="3">
        <v>4</v>
      </c>
      <c r="U34" s="3">
        <v>4</v>
      </c>
      <c r="V34" s="3">
        <v>4</v>
      </c>
      <c r="W34" s="9">
        <f t="shared" si="6"/>
        <v>3.85</v>
      </c>
      <c r="X34" s="8"/>
      <c r="Y34" s="2"/>
      <c r="Z34" s="2"/>
    </row>
    <row r="35" spans="1:26" x14ac:dyDescent="0.2">
      <c r="A35" s="2"/>
      <c r="B35" s="2"/>
      <c r="C35" s="2">
        <v>4</v>
      </c>
      <c r="D35" s="2">
        <v>4</v>
      </c>
      <c r="E35" s="2">
        <v>3</v>
      </c>
      <c r="F35" s="2">
        <v>3</v>
      </c>
      <c r="G35" s="2">
        <v>4</v>
      </c>
      <c r="H35" s="2">
        <v>4</v>
      </c>
      <c r="I35" s="3">
        <v>4</v>
      </c>
      <c r="J35" s="3">
        <v>4</v>
      </c>
      <c r="K35" s="3">
        <v>3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  <c r="R35" s="3">
        <v>4</v>
      </c>
      <c r="S35" s="3">
        <v>4</v>
      </c>
      <c r="T35" s="3">
        <v>4</v>
      </c>
      <c r="U35" s="3">
        <v>4</v>
      </c>
      <c r="V35" s="3">
        <v>4</v>
      </c>
      <c r="W35" s="9">
        <f t="shared" si="6"/>
        <v>3.85</v>
      </c>
      <c r="X35" s="8"/>
      <c r="Y35" s="2"/>
      <c r="Z35" s="2"/>
    </row>
    <row r="36" spans="1:26" x14ac:dyDescent="0.2">
      <c r="A36" s="2"/>
      <c r="B36" s="2"/>
      <c r="C36" s="2">
        <v>4</v>
      </c>
      <c r="D36" s="2">
        <v>4</v>
      </c>
      <c r="E36" s="2">
        <v>3</v>
      </c>
      <c r="F36" s="2">
        <v>4</v>
      </c>
      <c r="G36" s="2">
        <v>4</v>
      </c>
      <c r="H36" s="2">
        <v>4</v>
      </c>
      <c r="I36" s="3">
        <v>4</v>
      </c>
      <c r="J36" s="3">
        <v>4</v>
      </c>
      <c r="K36" s="3">
        <v>4</v>
      </c>
      <c r="L36" s="3">
        <v>4</v>
      </c>
      <c r="M36" s="3">
        <v>4</v>
      </c>
      <c r="N36" s="3">
        <v>4</v>
      </c>
      <c r="O36" s="3">
        <v>4</v>
      </c>
      <c r="P36" s="3">
        <v>4</v>
      </c>
      <c r="Q36" s="3">
        <v>4</v>
      </c>
      <c r="R36" s="3">
        <v>4</v>
      </c>
      <c r="S36" s="3">
        <v>4</v>
      </c>
      <c r="T36" s="3">
        <v>4</v>
      </c>
      <c r="U36" s="3">
        <v>4</v>
      </c>
      <c r="V36" s="3">
        <v>4</v>
      </c>
      <c r="W36" s="9">
        <f t="shared" si="6"/>
        <v>3.95</v>
      </c>
      <c r="X36" s="8"/>
      <c r="Y36" s="2"/>
      <c r="Z36" s="2"/>
    </row>
    <row r="37" spans="1:26" x14ac:dyDescent="0.2">
      <c r="A37" s="11" t="s">
        <v>26</v>
      </c>
      <c r="B37" s="8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0">
        <f>AVERAGE(C38:V39)</f>
        <v>3.95</v>
      </c>
      <c r="X37" s="8"/>
      <c r="Y37" s="2"/>
      <c r="Z37" s="2"/>
    </row>
    <row r="38" spans="1:26" x14ac:dyDescent="0.2">
      <c r="A38" s="2"/>
      <c r="B38" s="2"/>
      <c r="C38" s="2">
        <v>4</v>
      </c>
      <c r="D38" s="2">
        <v>4</v>
      </c>
      <c r="E38" s="2">
        <v>4</v>
      </c>
      <c r="F38" s="2">
        <v>3</v>
      </c>
      <c r="G38" s="2">
        <v>4</v>
      </c>
      <c r="H38" s="2">
        <v>4</v>
      </c>
      <c r="I38" s="3">
        <v>4</v>
      </c>
      <c r="J38" s="3">
        <v>4</v>
      </c>
      <c r="K38" s="3">
        <v>4</v>
      </c>
      <c r="L38" s="3">
        <v>4</v>
      </c>
      <c r="M38" s="3">
        <v>4</v>
      </c>
      <c r="N38" s="3">
        <v>4</v>
      </c>
      <c r="O38" s="3">
        <v>4</v>
      </c>
      <c r="P38" s="3">
        <v>4</v>
      </c>
      <c r="Q38" s="3">
        <v>4</v>
      </c>
      <c r="R38" s="3">
        <v>4</v>
      </c>
      <c r="S38" s="3">
        <v>4</v>
      </c>
      <c r="T38" s="3">
        <v>4</v>
      </c>
      <c r="U38" s="3">
        <v>4</v>
      </c>
      <c r="V38" s="3">
        <v>4</v>
      </c>
      <c r="W38" s="9">
        <f t="shared" ref="W38:W39" si="7">AVERAGE(C38:V38)</f>
        <v>3.95</v>
      </c>
      <c r="X38" s="8"/>
      <c r="Y38" s="2"/>
      <c r="Z38" s="2"/>
    </row>
    <row r="39" spans="1:26" x14ac:dyDescent="0.2">
      <c r="A39" s="2"/>
      <c r="B39" s="2"/>
      <c r="C39" s="2">
        <v>4</v>
      </c>
      <c r="D39" s="2">
        <v>4</v>
      </c>
      <c r="E39" s="2">
        <v>4</v>
      </c>
      <c r="F39" s="2">
        <v>4</v>
      </c>
      <c r="G39" s="2">
        <v>4</v>
      </c>
      <c r="H39" s="2">
        <v>4</v>
      </c>
      <c r="I39" s="3">
        <v>4</v>
      </c>
      <c r="J39" s="3">
        <v>4</v>
      </c>
      <c r="K39" s="3">
        <v>4</v>
      </c>
      <c r="L39" s="3">
        <v>4</v>
      </c>
      <c r="M39" s="3">
        <v>4</v>
      </c>
      <c r="N39" s="3">
        <v>4</v>
      </c>
      <c r="O39" s="3">
        <v>4</v>
      </c>
      <c r="P39" s="3">
        <v>4</v>
      </c>
      <c r="Q39" s="3">
        <v>4</v>
      </c>
      <c r="R39" s="3">
        <v>4</v>
      </c>
      <c r="S39" s="3">
        <v>3</v>
      </c>
      <c r="T39" s="3">
        <v>4</v>
      </c>
      <c r="U39" s="3">
        <v>4</v>
      </c>
      <c r="V39" s="3">
        <v>4</v>
      </c>
      <c r="W39" s="9">
        <f t="shared" si="7"/>
        <v>3.95</v>
      </c>
      <c r="X39" s="8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2"/>
      <c r="X40" s="2"/>
      <c r="Y40" s="2"/>
      <c r="Z40" s="2"/>
    </row>
    <row r="41" spans="1:26" x14ac:dyDescent="0.2">
      <c r="A41" s="2"/>
      <c r="B41" s="2"/>
      <c r="C41" s="12" t="s">
        <v>27</v>
      </c>
      <c r="D41" s="7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2"/>
      <c r="X41" s="2"/>
      <c r="Y41" s="2"/>
      <c r="Z41" s="2"/>
    </row>
    <row r="42" spans="1:26" x14ac:dyDescent="0.2">
      <c r="A42" s="2"/>
      <c r="B42" s="2"/>
      <c r="C42" s="13">
        <f>AVERAGE(W2:W37)</f>
        <v>3.7709259259259249</v>
      </c>
      <c r="D42" s="7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4">
        <v>1.1000000000000001</v>
      </c>
      <c r="B44" s="4" t="s">
        <v>28</v>
      </c>
      <c r="C44" s="4" t="s">
        <v>29</v>
      </c>
      <c r="D44" s="2"/>
      <c r="E44" s="2"/>
      <c r="F44" s="2"/>
      <c r="G44" s="2"/>
      <c r="H44" s="4">
        <v>1.2</v>
      </c>
      <c r="I44" s="4" t="s">
        <v>28</v>
      </c>
      <c r="J44" s="4" t="s">
        <v>29</v>
      </c>
      <c r="K44" s="2"/>
      <c r="L44" s="2"/>
      <c r="M44" s="2"/>
      <c r="N44" s="2"/>
      <c r="O44" s="4">
        <v>1.3</v>
      </c>
      <c r="P44" s="4" t="s">
        <v>28</v>
      </c>
      <c r="Q44" s="4" t="s">
        <v>29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5">
        <v>1</v>
      </c>
      <c r="C45" s="5">
        <f>COUNTIF(C3:V3, 1)</f>
        <v>0</v>
      </c>
      <c r="D45" s="2"/>
      <c r="E45" s="2"/>
      <c r="F45" s="2"/>
      <c r="G45" s="2"/>
      <c r="H45" s="2"/>
      <c r="I45" s="5">
        <v>1</v>
      </c>
      <c r="J45" s="5">
        <f>COUNTIF(C4:V4, 1)</f>
        <v>0</v>
      </c>
      <c r="K45" s="2"/>
      <c r="L45" s="2"/>
      <c r="M45" s="2"/>
      <c r="N45" s="2"/>
      <c r="O45" s="2"/>
      <c r="P45" s="5">
        <v>1</v>
      </c>
      <c r="Q45" s="5">
        <f>COUNTIF(C5:V5, 1)</f>
        <v>0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5">
        <v>2</v>
      </c>
      <c r="C46" s="5">
        <f>COUNTIF(C3:V3, 2)</f>
        <v>0</v>
      </c>
      <c r="D46" s="2"/>
      <c r="E46" s="2"/>
      <c r="F46" s="2"/>
      <c r="G46" s="2"/>
      <c r="H46" s="2"/>
      <c r="I46" s="5">
        <v>2</v>
      </c>
      <c r="J46" s="5">
        <f>COUNTIF(C4:V4, 2)</f>
        <v>0</v>
      </c>
      <c r="K46" s="2"/>
      <c r="L46" s="2"/>
      <c r="M46" s="2"/>
      <c r="N46" s="2"/>
      <c r="O46" s="2"/>
      <c r="P46" s="5">
        <v>2</v>
      </c>
      <c r="Q46" s="5">
        <f>COUNTIF(C5:V5, 2)</f>
        <v>0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5">
        <v>3</v>
      </c>
      <c r="C47" s="5">
        <f>COUNTIF(C3:V3, 3)</f>
        <v>5</v>
      </c>
      <c r="D47" s="2"/>
      <c r="E47" s="2"/>
      <c r="F47" s="2"/>
      <c r="G47" s="2"/>
      <c r="H47" s="2"/>
      <c r="I47" s="5">
        <v>3</v>
      </c>
      <c r="J47" s="5">
        <f>COUNTIF(C4:V4, 3)</f>
        <v>4</v>
      </c>
      <c r="K47" s="2"/>
      <c r="L47" s="2"/>
      <c r="M47" s="2"/>
      <c r="N47" s="2"/>
      <c r="O47" s="2"/>
      <c r="P47" s="5">
        <v>3</v>
      </c>
      <c r="Q47" s="5">
        <f>COUNTIF(C5:V5, 3)</f>
        <v>4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5">
        <v>4</v>
      </c>
      <c r="C48" s="5">
        <f>COUNTIF(C3:V3, 4)</f>
        <v>15</v>
      </c>
      <c r="D48" s="2"/>
      <c r="E48" s="2"/>
      <c r="F48" s="2"/>
      <c r="G48" s="2"/>
      <c r="H48" s="2"/>
      <c r="I48" s="5">
        <v>4</v>
      </c>
      <c r="J48" s="5">
        <f>COUNTIF(C4:V4, 4)</f>
        <v>16</v>
      </c>
      <c r="K48" s="2"/>
      <c r="L48" s="2"/>
      <c r="M48" s="2"/>
      <c r="N48" s="2"/>
      <c r="O48" s="2"/>
      <c r="P48" s="5">
        <v>4</v>
      </c>
      <c r="Q48" s="5">
        <f>COUNTIF(C5:V5, 4)</f>
        <v>16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4">
        <v>2.1</v>
      </c>
      <c r="B54" s="4" t="s">
        <v>28</v>
      </c>
      <c r="C54" s="4" t="s">
        <v>29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4">
        <v>2.2000000000000002</v>
      </c>
      <c r="P54" s="4" t="s">
        <v>28</v>
      </c>
      <c r="Q54" s="4" t="s">
        <v>29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5">
        <v>1</v>
      </c>
      <c r="C55" s="5">
        <f>COUNTIF(C7:V7, 1)</f>
        <v>0</v>
      </c>
      <c r="D55" s="2"/>
      <c r="E55" s="2"/>
      <c r="F55" s="2"/>
      <c r="G55" s="2"/>
      <c r="H55" s="4">
        <v>2.2000000000000002</v>
      </c>
      <c r="I55" s="4" t="s">
        <v>28</v>
      </c>
      <c r="J55" s="4" t="s">
        <v>29</v>
      </c>
      <c r="K55" s="2"/>
      <c r="L55" s="2"/>
      <c r="M55" s="2"/>
      <c r="N55" s="2"/>
      <c r="O55" s="2"/>
      <c r="P55" s="5">
        <v>1</v>
      </c>
      <c r="Q55" s="5">
        <f>COUNTIF(C9:V9, 1)</f>
        <v>0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5">
        <v>2</v>
      </c>
      <c r="C56" s="5">
        <f>COUNTIF(C7:V7, 2)</f>
        <v>0</v>
      </c>
      <c r="D56" s="2"/>
      <c r="E56" s="2"/>
      <c r="F56" s="2"/>
      <c r="G56" s="2"/>
      <c r="H56" s="2"/>
      <c r="I56" s="5">
        <v>1</v>
      </c>
      <c r="J56" s="5">
        <f>COUNTIF(C8:V8, 1)</f>
        <v>0</v>
      </c>
      <c r="K56" s="2"/>
      <c r="L56" s="2"/>
      <c r="M56" s="2"/>
      <c r="N56" s="2"/>
      <c r="O56" s="2"/>
      <c r="P56" s="5">
        <v>2</v>
      </c>
      <c r="Q56" s="5">
        <f>COUNTIF(C9:V9, 2)</f>
        <v>0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5">
        <v>3</v>
      </c>
      <c r="C57" s="5">
        <f>COUNTIF(C7:V7, 3)</f>
        <v>8</v>
      </c>
      <c r="D57" s="2"/>
      <c r="E57" s="2"/>
      <c r="F57" s="2"/>
      <c r="G57" s="2"/>
      <c r="H57" s="2"/>
      <c r="I57" s="5">
        <v>2</v>
      </c>
      <c r="J57" s="5">
        <f>COUNTIF(C8:V8, 2)</f>
        <v>0</v>
      </c>
      <c r="K57" s="2"/>
      <c r="L57" s="2"/>
      <c r="M57" s="2"/>
      <c r="N57" s="2"/>
      <c r="O57" s="2"/>
      <c r="P57" s="5">
        <v>3</v>
      </c>
      <c r="Q57" s="5">
        <f>COUNTIF(C9:V9, 3)</f>
        <v>6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5">
        <v>4</v>
      </c>
      <c r="C58" s="5">
        <f>COUNTIF(C7:V7, 4)</f>
        <v>12</v>
      </c>
      <c r="D58" s="2"/>
      <c r="E58" s="2"/>
      <c r="F58" s="2"/>
      <c r="G58" s="2"/>
      <c r="H58" s="2"/>
      <c r="I58" s="5">
        <v>3</v>
      </c>
      <c r="J58" s="5">
        <f>COUNTIF(C8:V8, 3)</f>
        <v>7</v>
      </c>
      <c r="K58" s="2"/>
      <c r="L58" s="2"/>
      <c r="M58" s="2"/>
      <c r="N58" s="2"/>
      <c r="O58" s="2"/>
      <c r="P58" s="5">
        <v>4</v>
      </c>
      <c r="Q58" s="5">
        <f>COUNTIF(C9:V9, 4)</f>
        <v>14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5">
        <v>4</v>
      </c>
      <c r="J59" s="5">
        <f>COUNTIF(C8:V8, 4)</f>
        <v>13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4">
        <v>3.1</v>
      </c>
      <c r="B64" s="4" t="s">
        <v>28</v>
      </c>
      <c r="C64" s="4" t="s">
        <v>29</v>
      </c>
      <c r="D64" s="2"/>
      <c r="E64" s="2"/>
      <c r="F64" s="2"/>
      <c r="G64" s="2"/>
      <c r="H64" s="4">
        <v>3.2</v>
      </c>
      <c r="I64" s="4" t="s">
        <v>28</v>
      </c>
      <c r="J64" s="4" t="s">
        <v>29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5">
        <v>1</v>
      </c>
      <c r="C65" s="5">
        <f>COUNTIF(C11:V11, 1)</f>
        <v>0</v>
      </c>
      <c r="D65" s="2"/>
      <c r="E65" s="2"/>
      <c r="F65" s="2"/>
      <c r="G65" s="2"/>
      <c r="H65" s="2"/>
      <c r="I65" s="5">
        <v>1</v>
      </c>
      <c r="J65" s="5">
        <f>COUNTIF(C12:V12, 1)</f>
        <v>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5">
        <v>2</v>
      </c>
      <c r="C66" s="5">
        <f>COUNTIF(C11:V11, 2)</f>
        <v>0</v>
      </c>
      <c r="D66" s="2"/>
      <c r="E66" s="2"/>
      <c r="F66" s="2"/>
      <c r="G66" s="2"/>
      <c r="H66" s="2"/>
      <c r="I66" s="5">
        <v>2</v>
      </c>
      <c r="J66" s="5">
        <f>COUNTIF(C2:V12, 2)</f>
        <v>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5">
        <v>3</v>
      </c>
      <c r="C67" s="5">
        <f>COUNTIF(C11:V11, 3)</f>
        <v>4</v>
      </c>
      <c r="D67" s="2"/>
      <c r="E67" s="2"/>
      <c r="F67" s="2"/>
      <c r="G67" s="2"/>
      <c r="H67" s="2"/>
      <c r="I67" s="5">
        <v>3</v>
      </c>
      <c r="J67" s="5">
        <f>COUNTIF(C12:V12, 3)</f>
        <v>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5">
        <v>4</v>
      </c>
      <c r="C68" s="5">
        <f>COUNTIF(C11:V11, 4)</f>
        <v>16</v>
      </c>
      <c r="D68" s="2"/>
      <c r="E68" s="2"/>
      <c r="F68" s="2"/>
      <c r="G68" s="2"/>
      <c r="H68" s="2"/>
      <c r="I68" s="5">
        <v>4</v>
      </c>
      <c r="J68" s="5">
        <f>COUNTIF(C12:V12, 4)</f>
        <v>15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4">
        <v>4.0999999999999996</v>
      </c>
      <c r="B75" s="4" t="s">
        <v>28</v>
      </c>
      <c r="C75" s="4" t="s">
        <v>29</v>
      </c>
      <c r="D75" s="2"/>
      <c r="E75" s="2"/>
      <c r="F75" s="2"/>
      <c r="G75" s="2"/>
      <c r="H75" s="4">
        <v>4.2</v>
      </c>
      <c r="I75" s="4" t="s">
        <v>28</v>
      </c>
      <c r="J75" s="4" t="s">
        <v>29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>
        <v>4.4000000000000004</v>
      </c>
      <c r="W75" s="4" t="s">
        <v>28</v>
      </c>
      <c r="X75" s="4" t="s">
        <v>29</v>
      </c>
      <c r="Y75" s="2"/>
      <c r="Z75" s="2"/>
    </row>
    <row r="76" spans="1:26" x14ac:dyDescent="0.2">
      <c r="A76" s="2"/>
      <c r="B76" s="5">
        <v>1</v>
      </c>
      <c r="C76" s="6">
        <f>COUNTIF(C14:V14, 1)</f>
        <v>0</v>
      </c>
      <c r="D76" s="2"/>
      <c r="E76" s="2"/>
      <c r="F76" s="2"/>
      <c r="G76" s="2"/>
      <c r="H76" s="2"/>
      <c r="I76" s="5">
        <v>1</v>
      </c>
      <c r="J76" s="6">
        <f>COUNTIF(C15:V15, 1)</f>
        <v>0</v>
      </c>
      <c r="K76" s="2"/>
      <c r="L76" s="2"/>
      <c r="M76" s="2"/>
      <c r="N76" s="2"/>
      <c r="O76" s="4">
        <v>4.3</v>
      </c>
      <c r="P76" s="4" t="s">
        <v>28</v>
      </c>
      <c r="Q76" s="4" t="s">
        <v>29</v>
      </c>
      <c r="R76" s="2"/>
      <c r="S76" s="2"/>
      <c r="T76" s="2"/>
      <c r="U76" s="2"/>
      <c r="V76" s="2"/>
      <c r="W76" s="5">
        <v>1</v>
      </c>
      <c r="X76" s="6">
        <f>COUNTIF(C17:V17, 1)</f>
        <v>0</v>
      </c>
      <c r="Y76" s="2"/>
      <c r="Z76" s="2"/>
    </row>
    <row r="77" spans="1:26" x14ac:dyDescent="0.2">
      <c r="A77" s="2"/>
      <c r="B77" s="5">
        <v>2</v>
      </c>
      <c r="C77" s="6">
        <f>COUNTIF(C14:V14, 2)</f>
        <v>0</v>
      </c>
      <c r="D77" s="2"/>
      <c r="E77" s="2"/>
      <c r="F77" s="2"/>
      <c r="G77" s="2"/>
      <c r="H77" s="2"/>
      <c r="I77" s="5">
        <v>2</v>
      </c>
      <c r="J77" s="6">
        <f>COUNTIF(C15:V15, 2)</f>
        <v>1</v>
      </c>
      <c r="K77" s="2"/>
      <c r="L77" s="2"/>
      <c r="M77" s="2"/>
      <c r="N77" s="2"/>
      <c r="O77" s="2"/>
      <c r="P77" s="5">
        <v>1</v>
      </c>
      <c r="Q77" s="6">
        <f>COUNTIF(C16:V16, 1)</f>
        <v>0</v>
      </c>
      <c r="R77" s="2"/>
      <c r="S77" s="2"/>
      <c r="T77" s="2"/>
      <c r="U77" s="2"/>
      <c r="V77" s="2"/>
      <c r="W77" s="5">
        <v>2</v>
      </c>
      <c r="X77" s="6">
        <f>COUNTIF(C17:V17, 2)</f>
        <v>0</v>
      </c>
      <c r="Y77" s="2"/>
      <c r="Z77" s="2"/>
    </row>
    <row r="78" spans="1:26" x14ac:dyDescent="0.2">
      <c r="A78" s="2"/>
      <c r="B78" s="5">
        <v>3</v>
      </c>
      <c r="C78" s="6">
        <f>COUNTIF(C14:V14, 3)</f>
        <v>2</v>
      </c>
      <c r="D78" s="2"/>
      <c r="E78" s="2"/>
      <c r="F78" s="2"/>
      <c r="G78" s="2"/>
      <c r="H78" s="2"/>
      <c r="I78" s="5">
        <v>3</v>
      </c>
      <c r="J78" s="6">
        <f>COUNTIF(C15:V15, 3)</f>
        <v>7</v>
      </c>
      <c r="K78" s="2"/>
      <c r="L78" s="2"/>
      <c r="M78" s="2"/>
      <c r="N78" s="2"/>
      <c r="O78" s="2"/>
      <c r="P78" s="5">
        <v>2</v>
      </c>
      <c r="Q78" s="6">
        <f>COUNTIF(C16:V16, 2)</f>
        <v>0</v>
      </c>
      <c r="R78" s="2"/>
      <c r="S78" s="2"/>
      <c r="T78" s="2"/>
      <c r="U78" s="2"/>
      <c r="V78" s="2"/>
      <c r="W78" s="5">
        <v>3</v>
      </c>
      <c r="X78" s="6">
        <f>COUNTIF(C17:V17, 3)</f>
        <v>4</v>
      </c>
      <c r="Y78" s="2"/>
      <c r="Z78" s="2"/>
    </row>
    <row r="79" spans="1:26" x14ac:dyDescent="0.2">
      <c r="A79" s="2"/>
      <c r="B79" s="5">
        <v>4</v>
      </c>
      <c r="C79" s="6">
        <f>COUNTIF(C14:V14, 4)</f>
        <v>18</v>
      </c>
      <c r="D79" s="2"/>
      <c r="E79" s="2"/>
      <c r="F79" s="2"/>
      <c r="G79" s="2"/>
      <c r="H79" s="2"/>
      <c r="I79" s="5">
        <v>4</v>
      </c>
      <c r="J79" s="6">
        <f>COUNTIF(C15:V15, 4)</f>
        <v>12</v>
      </c>
      <c r="K79" s="2"/>
      <c r="L79" s="2"/>
      <c r="M79" s="2"/>
      <c r="N79" s="2"/>
      <c r="O79" s="2"/>
      <c r="P79" s="5">
        <v>3</v>
      </c>
      <c r="Q79" s="6">
        <f>COUNTIF(C16:V16, 3)</f>
        <v>7</v>
      </c>
      <c r="R79" s="2"/>
      <c r="S79" s="2"/>
      <c r="T79" s="2"/>
      <c r="U79" s="2"/>
      <c r="V79" s="2"/>
      <c r="W79" s="5">
        <v>4</v>
      </c>
      <c r="X79" s="6">
        <f>COUNTIF(C17:V17, 4)</f>
        <v>16</v>
      </c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>
        <v>4</v>
      </c>
      <c r="Q80" s="6">
        <f>COUNTIF(C16:V16, 4)</f>
        <v>13</v>
      </c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4">
        <v>4.5</v>
      </c>
      <c r="B86" s="4" t="s">
        <v>28</v>
      </c>
      <c r="C86" s="4" t="s">
        <v>29</v>
      </c>
      <c r="D86" s="2"/>
      <c r="E86" s="2"/>
      <c r="F86" s="2"/>
      <c r="G86" s="2"/>
      <c r="H86" s="4">
        <v>4.5999999999999996</v>
      </c>
      <c r="I86" s="4" t="s">
        <v>28</v>
      </c>
      <c r="J86" s="4" t="s">
        <v>29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5">
        <v>1</v>
      </c>
      <c r="C87" s="6">
        <f>COUNTIF(C18:V18, 1)</f>
        <v>0</v>
      </c>
      <c r="D87" s="2"/>
      <c r="E87" s="2"/>
      <c r="F87" s="2"/>
      <c r="G87" s="2"/>
      <c r="H87" s="2"/>
      <c r="I87" s="5">
        <v>1</v>
      </c>
      <c r="J87" s="6">
        <f>COUNTIF(C19:V19, 1)</f>
        <v>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5">
        <v>2</v>
      </c>
      <c r="C88" s="6">
        <f>COUNTIF(C18:V18, 2)</f>
        <v>0</v>
      </c>
      <c r="D88" s="2"/>
      <c r="E88" s="2"/>
      <c r="F88" s="2"/>
      <c r="G88" s="2"/>
      <c r="H88" s="2"/>
      <c r="I88" s="5">
        <v>2</v>
      </c>
      <c r="J88" s="6">
        <f>COUNTIF(C19:V19, 2)</f>
        <v>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5">
        <v>3</v>
      </c>
      <c r="C89" s="6">
        <f>COUNTIF(C18:V18, 3)</f>
        <v>1</v>
      </c>
      <c r="D89" s="2"/>
      <c r="E89" s="2"/>
      <c r="F89" s="2"/>
      <c r="G89" s="2"/>
      <c r="H89" s="2"/>
      <c r="I89" s="5">
        <v>3</v>
      </c>
      <c r="J89" s="6">
        <f>COUNTIF(C19:V19, 3)</f>
        <v>1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5">
        <v>4</v>
      </c>
      <c r="C90" s="6">
        <f>COUNTIF(C18:V18, 4)</f>
        <v>19</v>
      </c>
      <c r="D90" s="2"/>
      <c r="E90" s="2"/>
      <c r="F90" s="2"/>
      <c r="G90" s="2"/>
      <c r="H90" s="2"/>
      <c r="I90" s="5">
        <v>4</v>
      </c>
      <c r="J90" s="6">
        <f>COUNTIF(C19:V19, 4)</f>
        <v>19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4">
        <v>5.0999999999999996</v>
      </c>
      <c r="B97" s="4" t="s">
        <v>28</v>
      </c>
      <c r="C97" s="4" t="s">
        <v>29</v>
      </c>
      <c r="D97" s="2"/>
      <c r="E97" s="2"/>
      <c r="F97" s="2"/>
      <c r="G97" s="2"/>
      <c r="H97" s="4">
        <v>5.2</v>
      </c>
      <c r="I97" s="4" t="s">
        <v>28</v>
      </c>
      <c r="J97" s="4" t="s">
        <v>29</v>
      </c>
      <c r="K97" s="2"/>
      <c r="L97" s="2"/>
      <c r="M97" s="2"/>
      <c r="N97" s="2"/>
      <c r="O97" s="4">
        <v>5.3</v>
      </c>
      <c r="P97" s="4" t="s">
        <v>28</v>
      </c>
      <c r="Q97" s="4" t="s">
        <v>29</v>
      </c>
      <c r="R97" s="2"/>
      <c r="S97" s="2"/>
      <c r="T97" s="2"/>
      <c r="U97" s="2"/>
      <c r="V97" s="4">
        <v>5.4</v>
      </c>
      <c r="W97" s="4" t="s">
        <v>28</v>
      </c>
      <c r="X97" s="4" t="s">
        <v>29</v>
      </c>
      <c r="Y97" s="2"/>
      <c r="Z97" s="2"/>
    </row>
    <row r="98" spans="1:26" x14ac:dyDescent="0.2">
      <c r="A98" s="2"/>
      <c r="B98" s="5">
        <v>1</v>
      </c>
      <c r="C98" s="6">
        <f>COUNTIF(C21:V21, 1)</f>
        <v>0</v>
      </c>
      <c r="D98" s="2"/>
      <c r="E98" s="2"/>
      <c r="F98" s="2"/>
      <c r="G98" s="2"/>
      <c r="H98" s="2"/>
      <c r="I98" s="5">
        <v>1</v>
      </c>
      <c r="J98" s="6">
        <f>COUNTIF(C22:V22, 1)</f>
        <v>0</v>
      </c>
      <c r="K98" s="2"/>
      <c r="L98" s="2"/>
      <c r="M98" s="2"/>
      <c r="N98" s="2"/>
      <c r="O98" s="2"/>
      <c r="P98" s="5">
        <v>1</v>
      </c>
      <c r="Q98" s="6">
        <f>COUNTIF(C23:V23, 1)</f>
        <v>0</v>
      </c>
      <c r="R98" s="2"/>
      <c r="S98" s="2"/>
      <c r="T98" s="2"/>
      <c r="U98" s="2"/>
      <c r="V98" s="2"/>
      <c r="W98" s="5">
        <v>1</v>
      </c>
      <c r="X98" s="6">
        <f>COUNTIF(C24:V24, 1)</f>
        <v>0</v>
      </c>
      <c r="Y98" s="2"/>
      <c r="Z98" s="2"/>
    </row>
    <row r="99" spans="1:26" x14ac:dyDescent="0.2">
      <c r="A99" s="2"/>
      <c r="B99" s="5">
        <v>2</v>
      </c>
      <c r="C99" s="6">
        <f>COUNTIF(C21:V21, 2)</f>
        <v>0</v>
      </c>
      <c r="D99" s="2"/>
      <c r="E99" s="2"/>
      <c r="F99" s="2"/>
      <c r="G99" s="2"/>
      <c r="H99" s="2"/>
      <c r="I99" s="5">
        <v>2</v>
      </c>
      <c r="J99" s="6">
        <f>COUNTIF(C22:V22, 2)</f>
        <v>0</v>
      </c>
      <c r="K99" s="2"/>
      <c r="L99" s="2"/>
      <c r="M99" s="2"/>
      <c r="N99" s="2"/>
      <c r="O99" s="2"/>
      <c r="P99" s="5">
        <v>2</v>
      </c>
      <c r="Q99" s="6">
        <f>COUNTIF(C23:V23, 2)</f>
        <v>0</v>
      </c>
      <c r="R99" s="2"/>
      <c r="S99" s="2"/>
      <c r="T99" s="2"/>
      <c r="U99" s="2"/>
      <c r="V99" s="2"/>
      <c r="W99" s="5">
        <v>2</v>
      </c>
      <c r="X99" s="6">
        <f>COUNTIF(C24:V24, 2)</f>
        <v>0</v>
      </c>
      <c r="Y99" s="2"/>
      <c r="Z99" s="2"/>
    </row>
    <row r="100" spans="1:26" x14ac:dyDescent="0.2">
      <c r="A100" s="2"/>
      <c r="B100" s="5">
        <v>3</v>
      </c>
      <c r="C100" s="6">
        <f>COUNTIF(C21:V21, 3)</f>
        <v>9</v>
      </c>
      <c r="D100" s="2"/>
      <c r="E100" s="2"/>
      <c r="F100" s="2"/>
      <c r="G100" s="2"/>
      <c r="H100" s="2"/>
      <c r="I100" s="5">
        <v>3</v>
      </c>
      <c r="J100" s="6">
        <f>COUNTIF(C22:V22, 3)</f>
        <v>7</v>
      </c>
      <c r="K100" s="2"/>
      <c r="L100" s="2"/>
      <c r="M100" s="2"/>
      <c r="N100" s="2"/>
      <c r="O100" s="2"/>
      <c r="P100" s="5">
        <v>3</v>
      </c>
      <c r="Q100" s="6">
        <f>COUNTIF(C23:V23, 3)</f>
        <v>7</v>
      </c>
      <c r="R100" s="2"/>
      <c r="S100" s="2"/>
      <c r="T100" s="2"/>
      <c r="U100" s="2"/>
      <c r="V100" s="2"/>
      <c r="W100" s="5">
        <v>3</v>
      </c>
      <c r="X100" s="6">
        <f>COUNTIF(C24:V24, 3)</f>
        <v>7</v>
      </c>
      <c r="Y100" s="2"/>
      <c r="Z100" s="2"/>
    </row>
    <row r="101" spans="1:26" x14ac:dyDescent="0.2">
      <c r="A101" s="2"/>
      <c r="B101" s="5">
        <v>4</v>
      </c>
      <c r="C101" s="6">
        <f>COUNTIF(C21:V21, 4)</f>
        <v>11</v>
      </c>
      <c r="D101" s="2"/>
      <c r="E101" s="2"/>
      <c r="F101" s="2"/>
      <c r="G101" s="2"/>
      <c r="H101" s="2"/>
      <c r="I101" s="5">
        <v>4</v>
      </c>
      <c r="J101" s="6">
        <f>COUNTIF(C22:V22, 4)</f>
        <v>13</v>
      </c>
      <c r="K101" s="2"/>
      <c r="L101" s="2"/>
      <c r="M101" s="2"/>
      <c r="N101" s="2"/>
      <c r="O101" s="2"/>
      <c r="P101" s="5">
        <v>4</v>
      </c>
      <c r="Q101" s="6">
        <f>COUNTIF(C23:V23, 4)</f>
        <v>13</v>
      </c>
      <c r="R101" s="2"/>
      <c r="S101" s="2"/>
      <c r="T101" s="2"/>
      <c r="U101" s="2"/>
      <c r="V101" s="2"/>
      <c r="W101" s="5">
        <v>4</v>
      </c>
      <c r="X101" s="6">
        <f>COUNTIF(C24:V24, 4)</f>
        <v>13</v>
      </c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4">
        <v>6.1</v>
      </c>
      <c r="B107" s="4" t="s">
        <v>28</v>
      </c>
      <c r="C107" s="4" t="s">
        <v>29</v>
      </c>
      <c r="D107" s="2"/>
      <c r="E107" s="2"/>
      <c r="F107" s="2"/>
      <c r="G107" s="2"/>
      <c r="H107" s="4">
        <v>6.2</v>
      </c>
      <c r="I107" s="4" t="s">
        <v>28</v>
      </c>
      <c r="J107" s="4" t="s">
        <v>29</v>
      </c>
      <c r="K107" s="2"/>
      <c r="L107" s="2"/>
      <c r="M107" s="2"/>
      <c r="N107" s="2"/>
      <c r="O107" s="4">
        <v>6.3</v>
      </c>
      <c r="P107" s="4" t="s">
        <v>28</v>
      </c>
      <c r="Q107" s="4" t="s">
        <v>29</v>
      </c>
      <c r="R107" s="2"/>
      <c r="S107" s="2"/>
      <c r="T107" s="2"/>
      <c r="U107" s="2"/>
      <c r="V107" s="4">
        <v>6.4</v>
      </c>
      <c r="W107" s="4" t="s">
        <v>28</v>
      </c>
      <c r="X107" s="4" t="s">
        <v>29</v>
      </c>
      <c r="Y107" s="2"/>
      <c r="Z107" s="2"/>
    </row>
    <row r="108" spans="1:26" x14ac:dyDescent="0.2">
      <c r="A108" s="2"/>
      <c r="B108" s="5">
        <v>1</v>
      </c>
      <c r="C108" s="6">
        <f>COUNTIF(C26:V26, 1)</f>
        <v>0</v>
      </c>
      <c r="D108" s="2"/>
      <c r="E108" s="2"/>
      <c r="F108" s="2"/>
      <c r="G108" s="2"/>
      <c r="H108" s="2"/>
      <c r="I108" s="5">
        <v>1</v>
      </c>
      <c r="J108" s="6">
        <f>COUNTIF(C27:V27, 1)</f>
        <v>0</v>
      </c>
      <c r="K108" s="2"/>
      <c r="L108" s="2"/>
      <c r="M108" s="2"/>
      <c r="N108" s="2"/>
      <c r="O108" s="2"/>
      <c r="P108" s="5">
        <v>1</v>
      </c>
      <c r="Q108" s="6">
        <f>COUNTIF(C28:V28, 1)</f>
        <v>0</v>
      </c>
      <c r="R108" s="2"/>
      <c r="S108" s="2"/>
      <c r="T108" s="2"/>
      <c r="U108" s="2"/>
      <c r="V108" s="2"/>
      <c r="W108" s="5">
        <v>1</v>
      </c>
      <c r="X108" s="6">
        <f>COUNTIF(C29:V29, 1)</f>
        <v>0</v>
      </c>
      <c r="Y108" s="2"/>
      <c r="Z108" s="2"/>
    </row>
    <row r="109" spans="1:26" x14ac:dyDescent="0.2">
      <c r="A109" s="2"/>
      <c r="B109" s="5">
        <v>2</v>
      </c>
      <c r="C109" s="6">
        <f>COUNTIF(C26:V26, 2)</f>
        <v>0</v>
      </c>
      <c r="D109" s="2"/>
      <c r="E109" s="2"/>
      <c r="F109" s="2"/>
      <c r="G109" s="2"/>
      <c r="H109" s="2"/>
      <c r="I109" s="5">
        <v>2</v>
      </c>
      <c r="J109" s="6">
        <f>COUNTIF(C27:V27, 2)</f>
        <v>0</v>
      </c>
      <c r="K109" s="2"/>
      <c r="L109" s="2"/>
      <c r="M109" s="2"/>
      <c r="N109" s="2"/>
      <c r="O109" s="2"/>
      <c r="P109" s="5">
        <v>2</v>
      </c>
      <c r="Q109" s="6">
        <f>COUNTIF(C28:V28, 2)</f>
        <v>0</v>
      </c>
      <c r="R109" s="2"/>
      <c r="S109" s="2"/>
      <c r="T109" s="2"/>
      <c r="U109" s="2"/>
      <c r="V109" s="2"/>
      <c r="W109" s="5">
        <v>2</v>
      </c>
      <c r="X109" s="6">
        <f>COUNTIF(C29:V29, 2)</f>
        <v>0</v>
      </c>
      <c r="Y109" s="2"/>
      <c r="Z109" s="2"/>
    </row>
    <row r="110" spans="1:26" x14ac:dyDescent="0.2">
      <c r="A110" s="2"/>
      <c r="B110" s="5">
        <v>3</v>
      </c>
      <c r="C110" s="6">
        <f>COUNTIF(C26:V26, 3)</f>
        <v>3</v>
      </c>
      <c r="D110" s="2"/>
      <c r="E110" s="2"/>
      <c r="F110" s="2"/>
      <c r="G110" s="2"/>
      <c r="H110" s="2"/>
      <c r="I110" s="5">
        <v>3</v>
      </c>
      <c r="J110" s="6">
        <f>COUNTIF(C27:V27, 3)</f>
        <v>2</v>
      </c>
      <c r="K110" s="2"/>
      <c r="L110" s="2"/>
      <c r="M110" s="2"/>
      <c r="N110" s="2"/>
      <c r="O110" s="2"/>
      <c r="P110" s="5">
        <v>3</v>
      </c>
      <c r="Q110" s="6">
        <f>COUNTIF(C28:V28, 3)</f>
        <v>4</v>
      </c>
      <c r="R110" s="2"/>
      <c r="S110" s="2"/>
      <c r="T110" s="2"/>
      <c r="U110" s="2"/>
      <c r="V110" s="2"/>
      <c r="W110" s="5">
        <v>3</v>
      </c>
      <c r="X110" s="6">
        <f>COUNTIF(C29:V29, 3)</f>
        <v>6</v>
      </c>
      <c r="Y110" s="2"/>
      <c r="Z110" s="2"/>
    </row>
    <row r="111" spans="1:26" x14ac:dyDescent="0.2">
      <c r="A111" s="2"/>
      <c r="B111" s="5">
        <v>4</v>
      </c>
      <c r="C111" s="6">
        <f>COUNTIF(C26:V26, 4)</f>
        <v>17</v>
      </c>
      <c r="D111" s="2"/>
      <c r="E111" s="2"/>
      <c r="F111" s="2"/>
      <c r="G111" s="2"/>
      <c r="H111" s="2"/>
      <c r="I111" s="5">
        <v>4</v>
      </c>
      <c r="J111" s="6">
        <f>COUNTIF(C27:V27, 4)</f>
        <v>18</v>
      </c>
      <c r="K111" s="2"/>
      <c r="L111" s="2"/>
      <c r="M111" s="2"/>
      <c r="N111" s="2"/>
      <c r="O111" s="2"/>
      <c r="P111" s="5">
        <v>4</v>
      </c>
      <c r="Q111" s="6">
        <f>COUNTIF(C28:V28, 4)</f>
        <v>16</v>
      </c>
      <c r="R111" s="2"/>
      <c r="S111" s="2"/>
      <c r="T111" s="2"/>
      <c r="U111" s="2"/>
      <c r="V111" s="2"/>
      <c r="W111" s="5">
        <v>4</v>
      </c>
      <c r="X111" s="6">
        <f>COUNTIF(C29:V29, 4)</f>
        <v>14</v>
      </c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4">
        <v>6.5</v>
      </c>
      <c r="B116" s="4" t="s">
        <v>28</v>
      </c>
      <c r="C116" s="4" t="s">
        <v>29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5">
        <v>1</v>
      </c>
      <c r="C117" s="6">
        <f>COUNTIF(C30:V30, 1)</f>
        <v>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5">
        <v>2</v>
      </c>
      <c r="C118" s="6">
        <f>COUNTIF(C30:V30, 2)</f>
        <v>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5">
        <v>3</v>
      </c>
      <c r="C119" s="6">
        <f>COUNTIF(C30:V30, 3)</f>
        <v>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5">
        <v>4</v>
      </c>
      <c r="C120" s="6">
        <f>COUNTIF(C30:V30, 4)</f>
        <v>15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4">
        <v>7.1</v>
      </c>
      <c r="B128" s="4" t="s">
        <v>28</v>
      </c>
      <c r="C128" s="4" t="s">
        <v>29</v>
      </c>
      <c r="D128" s="2"/>
      <c r="E128" s="2"/>
      <c r="F128" s="2"/>
      <c r="G128" s="2"/>
      <c r="H128" s="4">
        <v>7.2</v>
      </c>
      <c r="I128" s="4" t="s">
        <v>28</v>
      </c>
      <c r="J128" s="4" t="s">
        <v>29</v>
      </c>
      <c r="K128" s="2"/>
      <c r="L128" s="2"/>
      <c r="M128" s="2"/>
      <c r="N128" s="2"/>
      <c r="O128" s="4">
        <v>7.3</v>
      </c>
      <c r="P128" s="4" t="s">
        <v>28</v>
      </c>
      <c r="Q128" s="4" t="s">
        <v>29</v>
      </c>
      <c r="R128" s="2"/>
      <c r="S128" s="2"/>
      <c r="T128" s="2"/>
      <c r="U128" s="2"/>
      <c r="V128" s="4">
        <v>7.4</v>
      </c>
      <c r="W128" s="4" t="s">
        <v>28</v>
      </c>
      <c r="X128" s="4" t="s">
        <v>29</v>
      </c>
      <c r="Y128" s="2"/>
      <c r="Z128" s="2"/>
    </row>
    <row r="129" spans="1:26" x14ac:dyDescent="0.2">
      <c r="A129" s="2"/>
      <c r="B129" s="5">
        <v>1</v>
      </c>
      <c r="C129" s="6">
        <f>COUNTIF(C32:V32, 1)</f>
        <v>0</v>
      </c>
      <c r="D129" s="2"/>
      <c r="E129" s="2"/>
      <c r="F129" s="2"/>
      <c r="G129" s="2"/>
      <c r="H129" s="2"/>
      <c r="I129" s="5">
        <v>1</v>
      </c>
      <c r="J129" s="6">
        <f>COUNTIF(C33:V33, 1)</f>
        <v>0</v>
      </c>
      <c r="K129" s="2"/>
      <c r="L129" s="2"/>
      <c r="M129" s="2"/>
      <c r="N129" s="2"/>
      <c r="O129" s="2"/>
      <c r="P129" s="5">
        <v>1</v>
      </c>
      <c r="Q129" s="6">
        <f>COUNTIF(C34:V34, 1)</f>
        <v>0</v>
      </c>
      <c r="R129" s="2"/>
      <c r="S129" s="2"/>
      <c r="T129" s="2"/>
      <c r="U129" s="2"/>
      <c r="V129" s="2"/>
      <c r="W129" s="5">
        <v>1</v>
      </c>
      <c r="X129" s="6">
        <f>COUNTIF(C35:V35, 1)</f>
        <v>0</v>
      </c>
      <c r="Y129" s="2"/>
      <c r="Z129" s="2"/>
    </row>
    <row r="130" spans="1:26" x14ac:dyDescent="0.2">
      <c r="A130" s="2"/>
      <c r="B130" s="5">
        <v>2</v>
      </c>
      <c r="C130" s="6">
        <f>COUNTIF(C32:V32, 2)</f>
        <v>0</v>
      </c>
      <c r="D130" s="2"/>
      <c r="E130" s="2"/>
      <c r="F130" s="2"/>
      <c r="G130" s="2"/>
      <c r="H130" s="2"/>
      <c r="I130" s="5">
        <v>2</v>
      </c>
      <c r="J130" s="6">
        <f>COUNTIF(C33:V33, 2)</f>
        <v>0</v>
      </c>
      <c r="K130" s="2"/>
      <c r="L130" s="2"/>
      <c r="M130" s="2"/>
      <c r="N130" s="2"/>
      <c r="O130" s="2"/>
      <c r="P130" s="5">
        <v>2</v>
      </c>
      <c r="Q130" s="6">
        <f>COUNTIF(C34:V34, 2)</f>
        <v>0</v>
      </c>
      <c r="R130" s="2"/>
      <c r="S130" s="2"/>
      <c r="T130" s="2"/>
      <c r="U130" s="2"/>
      <c r="V130" s="2"/>
      <c r="W130" s="5">
        <v>2</v>
      </c>
      <c r="X130" s="6">
        <f>COUNTIF(C35:V35, 2)</f>
        <v>0</v>
      </c>
      <c r="Y130" s="2"/>
      <c r="Z130" s="2"/>
    </row>
    <row r="131" spans="1:26" x14ac:dyDescent="0.2">
      <c r="A131" s="2"/>
      <c r="B131" s="5">
        <v>3</v>
      </c>
      <c r="C131" s="6">
        <f>COUNTIF(C32:V32, 3)</f>
        <v>2</v>
      </c>
      <c r="D131" s="2"/>
      <c r="E131" s="2"/>
      <c r="F131" s="2"/>
      <c r="G131" s="2"/>
      <c r="H131" s="2"/>
      <c r="I131" s="5">
        <v>3</v>
      </c>
      <c r="J131" s="6">
        <f>COUNTIF(C33:V33, 3)</f>
        <v>4</v>
      </c>
      <c r="K131" s="2"/>
      <c r="L131" s="2"/>
      <c r="M131" s="2"/>
      <c r="N131" s="2"/>
      <c r="O131" s="2"/>
      <c r="P131" s="5">
        <v>3</v>
      </c>
      <c r="Q131" s="6">
        <f>COUNTIF(C34:V34, 3)</f>
        <v>3</v>
      </c>
      <c r="R131" s="2"/>
      <c r="S131" s="2"/>
      <c r="T131" s="2"/>
      <c r="U131" s="2"/>
      <c r="V131" s="2"/>
      <c r="W131" s="5">
        <v>3</v>
      </c>
      <c r="X131" s="6">
        <f>COUNTIF(C35:V35, 3)</f>
        <v>3</v>
      </c>
      <c r="Y131" s="2"/>
      <c r="Z131" s="2"/>
    </row>
    <row r="132" spans="1:26" x14ac:dyDescent="0.2">
      <c r="A132" s="2"/>
      <c r="B132" s="5">
        <v>4</v>
      </c>
      <c r="C132" s="6">
        <f>COUNTIF(C32:V32, 4)</f>
        <v>18</v>
      </c>
      <c r="D132" s="2"/>
      <c r="E132" s="2"/>
      <c r="F132" s="2"/>
      <c r="G132" s="2"/>
      <c r="H132" s="2"/>
      <c r="I132" s="5">
        <v>4</v>
      </c>
      <c r="J132" s="6">
        <f>COUNTIF(C33:V33, 4)</f>
        <v>16</v>
      </c>
      <c r="K132" s="2"/>
      <c r="L132" s="2"/>
      <c r="M132" s="2"/>
      <c r="N132" s="2"/>
      <c r="O132" s="2"/>
      <c r="P132" s="5">
        <v>4</v>
      </c>
      <c r="Q132" s="6">
        <f>COUNTIF(C34:V34, 4)</f>
        <v>17</v>
      </c>
      <c r="R132" s="2"/>
      <c r="S132" s="2"/>
      <c r="T132" s="2"/>
      <c r="U132" s="2"/>
      <c r="V132" s="2"/>
      <c r="W132" s="5">
        <v>4</v>
      </c>
      <c r="X132" s="6">
        <f>COUNTIF(C35:V35, 4)</f>
        <v>17</v>
      </c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4">
        <v>7.5</v>
      </c>
      <c r="B139" s="4" t="s">
        <v>28</v>
      </c>
      <c r="C139" s="4" t="s">
        <v>29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5">
        <v>1</v>
      </c>
      <c r="C140" s="6">
        <f>COUNTIF(C36:V36, 1)</f>
        <v>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5">
        <v>2</v>
      </c>
      <c r="C141" s="6">
        <f>COUNTIF(C36:V36, 2)</f>
        <v>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5">
        <v>3</v>
      </c>
      <c r="C142" s="6">
        <f>COUNTIF(C36:V36, 3)</f>
        <v>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5">
        <v>4</v>
      </c>
      <c r="C143" s="6">
        <f>COUNTIF(C36:V36, 4)</f>
        <v>19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4">
        <v>8.1</v>
      </c>
      <c r="B150" s="4" t="s">
        <v>28</v>
      </c>
      <c r="C150" s="4" t="s">
        <v>29</v>
      </c>
      <c r="D150" s="2"/>
      <c r="E150" s="2"/>
      <c r="F150" s="2"/>
      <c r="G150" s="2"/>
      <c r="H150" s="4">
        <v>8.1999999999999993</v>
      </c>
      <c r="I150" s="4" t="s">
        <v>28</v>
      </c>
      <c r="J150" s="4" t="s">
        <v>29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5">
        <v>1</v>
      </c>
      <c r="C151" s="6">
        <f>COUNTIF(C38:V38, 1)</f>
        <v>0</v>
      </c>
      <c r="D151" s="2"/>
      <c r="E151" s="2"/>
      <c r="F151" s="2"/>
      <c r="G151" s="2"/>
      <c r="H151" s="2"/>
      <c r="I151" s="5">
        <v>1</v>
      </c>
      <c r="J151" s="6">
        <f>COUNTIF(C39:V39, 1)</f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5">
        <v>2</v>
      </c>
      <c r="C152" s="6">
        <f>COUNTIF(C38:V38, 2)</f>
        <v>0</v>
      </c>
      <c r="D152" s="2"/>
      <c r="E152" s="2"/>
      <c r="F152" s="2"/>
      <c r="G152" s="2"/>
      <c r="H152" s="2"/>
      <c r="I152" s="5">
        <v>2</v>
      </c>
      <c r="J152" s="6">
        <f>COUNTIF(C39:V39, 2)</f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5">
        <v>3</v>
      </c>
      <c r="C153" s="6">
        <f>COUNTIF(C38:V38, 3)</f>
        <v>1</v>
      </c>
      <c r="D153" s="2"/>
      <c r="E153" s="2"/>
      <c r="F153" s="2"/>
      <c r="G153" s="2"/>
      <c r="H153" s="2"/>
      <c r="I153" s="5">
        <v>3</v>
      </c>
      <c r="J153" s="6">
        <f>COUNTIF(C39:V39, 3)</f>
        <v>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5">
        <v>4</v>
      </c>
      <c r="C154" s="6">
        <f>COUNTIF(C38:V38, 4)</f>
        <v>19</v>
      </c>
      <c r="D154" s="2"/>
      <c r="E154" s="2"/>
      <c r="F154" s="2"/>
      <c r="G154" s="2"/>
      <c r="H154" s="2"/>
      <c r="I154" s="5">
        <v>4</v>
      </c>
      <c r="J154" s="6">
        <f>COUNTIF(C39:V39, 4)</f>
        <v>19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4" t="s">
        <v>30</v>
      </c>
      <c r="B162" s="4" t="s">
        <v>28</v>
      </c>
      <c r="C162" s="4" t="s">
        <v>29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5">
        <v>1</v>
      </c>
      <c r="C163" s="6">
        <f>COUNTIF(C3:V39, 1)</f>
        <v>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5">
        <v>2</v>
      </c>
      <c r="C164" s="6">
        <f>COUNTIF(C3:V39, 2)</f>
        <v>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5">
        <v>3</v>
      </c>
      <c r="C165" s="6">
        <f>COUNTIF(C3:V39, 3)</f>
        <v>130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5">
        <v>4</v>
      </c>
      <c r="C166" s="6">
        <f>COUNTIF(C3:V39, 4)</f>
        <v>469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9">
    <mergeCell ref="C42:D42"/>
    <mergeCell ref="A37:B37"/>
    <mergeCell ref="W37:X37"/>
    <mergeCell ref="W38:X38"/>
    <mergeCell ref="W39:X39"/>
    <mergeCell ref="C41:D41"/>
    <mergeCell ref="W32:X32"/>
    <mergeCell ref="W33:X33"/>
    <mergeCell ref="W34:X34"/>
    <mergeCell ref="W35:X35"/>
    <mergeCell ref="W36:X36"/>
    <mergeCell ref="W28:X28"/>
    <mergeCell ref="W29:X29"/>
    <mergeCell ref="W30:X30"/>
    <mergeCell ref="A31:B31"/>
    <mergeCell ref="W31:X31"/>
    <mergeCell ref="A20:B20"/>
    <mergeCell ref="W20:X20"/>
    <mergeCell ref="A25:B25"/>
    <mergeCell ref="W25:X25"/>
    <mergeCell ref="W1:X1"/>
    <mergeCell ref="A2:B2"/>
    <mergeCell ref="W2:X2"/>
    <mergeCell ref="W3:X3"/>
    <mergeCell ref="A6:B6"/>
    <mergeCell ref="A10:B10"/>
    <mergeCell ref="A13:B13"/>
    <mergeCell ref="W23:X23"/>
    <mergeCell ref="W24:X24"/>
    <mergeCell ref="W26:X26"/>
    <mergeCell ref="W27:X27"/>
    <mergeCell ref="W6:X6"/>
    <mergeCell ref="W7:X7"/>
    <mergeCell ref="W8:X8"/>
    <mergeCell ref="W9:X9"/>
    <mergeCell ref="W10:X10"/>
    <mergeCell ref="W11:X11"/>
    <mergeCell ref="W12:X12"/>
    <mergeCell ref="W17:X17"/>
    <mergeCell ref="W18:X18"/>
    <mergeCell ref="W19:X19"/>
    <mergeCell ref="W21:X21"/>
    <mergeCell ref="W22:X22"/>
    <mergeCell ref="W4:X4"/>
    <mergeCell ref="W13:X13"/>
    <mergeCell ref="W14:X14"/>
    <mergeCell ref="W15:X15"/>
    <mergeCell ref="W16:X16"/>
    <mergeCell ref="W5:X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Glenn Galbadores</cp:lastModifiedBy>
  <dcterms:modified xsi:type="dcterms:W3CDTF">2026-01-01T16:09:11Z</dcterms:modified>
</cp:coreProperties>
</file>